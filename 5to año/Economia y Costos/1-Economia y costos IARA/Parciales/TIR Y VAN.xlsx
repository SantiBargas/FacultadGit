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ila\Desktop\economia\"/>
    </mc:Choice>
  </mc:AlternateContent>
  <bookViews>
    <workbookView xWindow="0" yWindow="0" windowWidth="15345" windowHeight="4575" activeTab="4"/>
  </bookViews>
  <sheets>
    <sheet name="VAN-TIR-EXTRAS" sheetId="1" r:id="rId1"/>
    <sheet name="amortizacion de creditos" sheetId="2" r:id="rId2"/>
    <sheet name="INTEGRADORA" sheetId="3" r:id="rId3"/>
    <sheet name="EXCEL PROFE" sheetId="4" r:id="rId4"/>
    <sheet name="exame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1" i="5" l="1"/>
  <c r="F69" i="5"/>
  <c r="F70" i="5"/>
  <c r="F71" i="5"/>
  <c r="F72" i="5"/>
  <c r="F73" i="5"/>
  <c r="F74" i="5"/>
  <c r="F75" i="5"/>
  <c r="F76" i="5"/>
  <c r="F77" i="5"/>
  <c r="F78" i="5"/>
  <c r="F79" i="5"/>
  <c r="F80" i="5"/>
  <c r="G69" i="5"/>
  <c r="G70" i="5"/>
  <c r="G71" i="5"/>
  <c r="G72" i="5"/>
  <c r="G73" i="5"/>
  <c r="G74" i="5"/>
  <c r="G75" i="5"/>
  <c r="G76" i="5"/>
  <c r="G77" i="5"/>
  <c r="G78" i="5"/>
  <c r="G79" i="5"/>
  <c r="G80" i="5"/>
  <c r="D83" i="5"/>
  <c r="D69" i="5"/>
  <c r="D70" i="5"/>
  <c r="D71" i="5"/>
  <c r="D72" i="5"/>
  <c r="D73" i="5"/>
  <c r="D74" i="5"/>
  <c r="D75" i="5"/>
  <c r="D76" i="5"/>
  <c r="D77" i="5"/>
  <c r="D78" i="5"/>
  <c r="D79" i="5"/>
  <c r="D80" i="5"/>
  <c r="B71" i="5"/>
  <c r="B72" i="5"/>
  <c r="B73" i="5"/>
  <c r="B74" i="5"/>
  <c r="B75" i="5"/>
  <c r="B76" i="5"/>
  <c r="B77" i="5"/>
  <c r="B78" i="5"/>
  <c r="B79" i="5"/>
  <c r="B80" i="5"/>
  <c r="B81" i="5" s="1"/>
  <c r="B70" i="5"/>
  <c r="D68" i="5"/>
  <c r="C80" i="5"/>
  <c r="C71" i="5"/>
  <c r="C72" i="5"/>
  <c r="C73" i="5"/>
  <c r="C74" i="5"/>
  <c r="C75" i="5"/>
  <c r="C76" i="5"/>
  <c r="C77" i="5"/>
  <c r="C78" i="5"/>
  <c r="C79" i="5"/>
  <c r="C70" i="5"/>
  <c r="C69" i="5"/>
  <c r="C68" i="5"/>
  <c r="B69" i="5"/>
  <c r="B68" i="5"/>
  <c r="G68" i="5"/>
  <c r="F68" i="5"/>
  <c r="E68" i="5"/>
  <c r="A75" i="5"/>
  <c r="A76" i="5"/>
  <c r="A77" i="5" s="1"/>
  <c r="A78" i="5" s="1"/>
  <c r="A79" i="5" s="1"/>
  <c r="A80" i="5" s="1"/>
  <c r="A74" i="5"/>
  <c r="E58" i="5"/>
  <c r="A56" i="5"/>
  <c r="A57" i="5" s="1"/>
  <c r="A58" i="5" s="1"/>
  <c r="A52" i="5"/>
  <c r="A53" i="5" s="1"/>
  <c r="A54" i="5" s="1"/>
  <c r="A55" i="5" s="1"/>
  <c r="A51" i="5"/>
  <c r="F30" i="5"/>
  <c r="F29" i="5"/>
  <c r="E29" i="5"/>
  <c r="D29" i="5"/>
  <c r="C29" i="5"/>
  <c r="B7" i="5"/>
  <c r="B6" i="5"/>
  <c r="C6" i="5"/>
  <c r="D6" i="5"/>
  <c r="E6" i="5"/>
  <c r="F6" i="5" s="1"/>
  <c r="F7" i="5" s="1"/>
  <c r="F8" i="5" s="1"/>
  <c r="F9" i="5" s="1"/>
  <c r="F10" i="5" s="1"/>
  <c r="F11" i="5" s="1"/>
  <c r="F12" i="5" s="1"/>
  <c r="F13" i="5" s="1"/>
  <c r="A30" i="5"/>
  <c r="I30" i="5"/>
  <c r="A31" i="5"/>
  <c r="A32" i="5"/>
  <c r="I32" i="5"/>
  <c r="B29" i="5" s="1"/>
  <c r="A33" i="5"/>
  <c r="A34" i="5" s="1"/>
  <c r="A35" i="5" s="1"/>
  <c r="A36" i="5" s="1"/>
  <c r="A8" i="5"/>
  <c r="A9" i="5" s="1"/>
  <c r="A10" i="5" s="1"/>
  <c r="A11" i="5" s="1"/>
  <c r="A12" i="5" s="1"/>
  <c r="A13" i="5" s="1"/>
  <c r="A7" i="5"/>
  <c r="E13" i="5"/>
  <c r="E12" i="5"/>
  <c r="E11" i="5"/>
  <c r="E10" i="5"/>
  <c r="E9" i="5"/>
  <c r="I8" i="5"/>
  <c r="I10" i="5" s="1"/>
  <c r="E8" i="5"/>
  <c r="E7" i="5"/>
  <c r="D82" i="5" l="1"/>
  <c r="G81" i="5"/>
  <c r="E69" i="5"/>
  <c r="H90" i="3"/>
  <c r="D88" i="3"/>
  <c r="D89" i="3"/>
  <c r="D90" i="3"/>
  <c r="D91" i="3"/>
  <c r="D92" i="3"/>
  <c r="D87" i="3"/>
  <c r="C87" i="3"/>
  <c r="B91" i="3"/>
  <c r="B92" i="3"/>
  <c r="B89" i="3"/>
  <c r="B88" i="3"/>
  <c r="B87" i="3"/>
  <c r="G83" i="5" l="1"/>
  <c r="B30" i="5"/>
  <c r="E71" i="5"/>
  <c r="E70" i="5"/>
  <c r="D7" i="5"/>
  <c r="C7" i="5" s="1"/>
  <c r="C92" i="3"/>
  <c r="D228" i="3"/>
  <c r="B114" i="3"/>
  <c r="I102" i="2"/>
  <c r="I104" i="2" s="1"/>
  <c r="C175" i="1"/>
  <c r="C90" i="1"/>
  <c r="E73" i="5" l="1"/>
  <c r="D8" i="5"/>
  <c r="C8" i="5" s="1"/>
  <c r="B100" i="2"/>
  <c r="E101" i="2"/>
  <c r="E105" i="2"/>
  <c r="E102" i="2"/>
  <c r="E106" i="2"/>
  <c r="E103" i="2"/>
  <c r="E107" i="2"/>
  <c r="E104" i="2"/>
  <c r="E100" i="2"/>
  <c r="F100" i="2" s="1"/>
  <c r="D100" i="2"/>
  <c r="H42" i="4"/>
  <c r="J33" i="4"/>
  <c r="J34" i="4"/>
  <c r="J35" i="4"/>
  <c r="J36" i="4"/>
  <c r="J37" i="4"/>
  <c r="J38" i="4"/>
  <c r="J39" i="4"/>
  <c r="J40" i="4"/>
  <c r="J32" i="4"/>
  <c r="I34" i="4"/>
  <c r="I35" i="4"/>
  <c r="I36" i="4"/>
  <c r="I37" i="4"/>
  <c r="K37" i="4" s="1"/>
  <c r="I38" i="4"/>
  <c r="I39" i="4"/>
  <c r="I40" i="4"/>
  <c r="I33" i="4"/>
  <c r="B34" i="4"/>
  <c r="B35" i="4"/>
  <c r="B36" i="4"/>
  <c r="B37" i="4"/>
  <c r="K38" i="4" s="1"/>
  <c r="B38" i="4"/>
  <c r="B39" i="4"/>
  <c r="B40" i="4"/>
  <c r="B33" i="4"/>
  <c r="E36" i="4"/>
  <c r="E40" i="4"/>
  <c r="H32" i="4"/>
  <c r="K34" i="4"/>
  <c r="K33" i="4"/>
  <c r="G33" i="4"/>
  <c r="G34" i="4" s="1"/>
  <c r="G35" i="4" s="1"/>
  <c r="G36" i="4" s="1"/>
  <c r="G37" i="4" s="1"/>
  <c r="G38" i="4" s="1"/>
  <c r="G39" i="4" s="1"/>
  <c r="G40" i="4" s="1"/>
  <c r="K32" i="4"/>
  <c r="C33" i="4"/>
  <c r="E34" i="4"/>
  <c r="E35" i="4"/>
  <c r="E38" i="4"/>
  <c r="E39" i="4"/>
  <c r="E41" i="4"/>
  <c r="E33" i="4"/>
  <c r="A34" i="4"/>
  <c r="A35" i="4" s="1"/>
  <c r="A36" i="4" s="1"/>
  <c r="A37" i="4" s="1"/>
  <c r="A38" i="4" s="1"/>
  <c r="A39" i="4" s="1"/>
  <c r="A40" i="4" s="1"/>
  <c r="K23" i="4"/>
  <c r="L14" i="4"/>
  <c r="L15" i="4"/>
  <c r="L16" i="4"/>
  <c r="L17" i="4"/>
  <c r="L18" i="4"/>
  <c r="L19" i="4"/>
  <c r="L20" i="4"/>
  <c r="L21" i="4"/>
  <c r="L13" i="4"/>
  <c r="K14" i="4"/>
  <c r="K15" i="4"/>
  <c r="K16" i="4"/>
  <c r="K17" i="4"/>
  <c r="K18" i="4"/>
  <c r="K19" i="4"/>
  <c r="K20" i="4"/>
  <c r="K21" i="4"/>
  <c r="K13" i="4"/>
  <c r="J15" i="4"/>
  <c r="J16" i="4"/>
  <c r="J17" i="4"/>
  <c r="J18" i="4"/>
  <c r="J19" i="4"/>
  <c r="J20" i="4"/>
  <c r="J21" i="4"/>
  <c r="J14" i="4"/>
  <c r="I13" i="4"/>
  <c r="H15" i="4"/>
  <c r="H16" i="4" s="1"/>
  <c r="H14" i="4"/>
  <c r="B13" i="4"/>
  <c r="D13" i="4" s="1"/>
  <c r="C16" i="4"/>
  <c r="C17" i="4"/>
  <c r="C20" i="4"/>
  <c r="C13" i="4"/>
  <c r="C8" i="4"/>
  <c r="C14" i="4" s="1"/>
  <c r="E8" i="4"/>
  <c r="E7" i="4"/>
  <c r="G219" i="1"/>
  <c r="G220" i="1"/>
  <c r="G221" i="1"/>
  <c r="G222" i="1"/>
  <c r="G223" i="1"/>
  <c r="G218" i="1"/>
  <c r="F219" i="1"/>
  <c r="F220" i="1"/>
  <c r="F221" i="1"/>
  <c r="F222" i="1"/>
  <c r="F223" i="1"/>
  <c r="F218" i="1"/>
  <c r="B218" i="1"/>
  <c r="C218" i="1"/>
  <c r="E72" i="5" l="1"/>
  <c r="D9" i="5"/>
  <c r="C9" i="5" s="1"/>
  <c r="C100" i="2"/>
  <c r="B101" i="2"/>
  <c r="D101" i="2" s="1"/>
  <c r="C101" i="2" s="1"/>
  <c r="F101" i="2"/>
  <c r="F224" i="1"/>
  <c r="G224" i="1"/>
  <c r="G225" i="1" s="1"/>
  <c r="E37" i="4"/>
  <c r="K35" i="4"/>
  <c r="K39" i="4"/>
  <c r="K36" i="4"/>
  <c r="K40" i="4"/>
  <c r="H17" i="4"/>
  <c r="H18" i="4" s="1"/>
  <c r="H19" i="4" s="1"/>
  <c r="H20" i="4" s="1"/>
  <c r="H21" i="4" s="1"/>
  <c r="E13" i="4"/>
  <c r="C19" i="4"/>
  <c r="C15" i="4"/>
  <c r="C18" i="4"/>
  <c r="F13" i="4"/>
  <c r="B14" i="4"/>
  <c r="D14" i="4" s="1"/>
  <c r="B322" i="3"/>
  <c r="B333" i="3"/>
  <c r="E325" i="3" s="1"/>
  <c r="D299" i="3"/>
  <c r="F294" i="3"/>
  <c r="C302" i="3" s="1"/>
  <c r="F296" i="3"/>
  <c r="D259" i="3"/>
  <c r="C259" i="3"/>
  <c r="C285" i="3"/>
  <c r="B280" i="3"/>
  <c r="B281" i="3"/>
  <c r="B282" i="3"/>
  <c r="B283" i="3"/>
  <c r="B284" i="3"/>
  <c r="B285" i="3"/>
  <c r="B279" i="3"/>
  <c r="B278" i="3"/>
  <c r="B277" i="3"/>
  <c r="B276" i="3"/>
  <c r="B275" i="3"/>
  <c r="B274" i="3"/>
  <c r="C228" i="3"/>
  <c r="B246" i="3"/>
  <c r="B247" i="3"/>
  <c r="B248" i="3"/>
  <c r="B249" i="3"/>
  <c r="B250" i="3"/>
  <c r="B251" i="3"/>
  <c r="B252" i="3"/>
  <c r="B253" i="3"/>
  <c r="B254" i="3"/>
  <c r="B245" i="3"/>
  <c r="B244" i="3"/>
  <c r="C254" i="3"/>
  <c r="C246" i="3"/>
  <c r="D246" i="3" s="1"/>
  <c r="C247" i="3"/>
  <c r="D247" i="3" s="1"/>
  <c r="C248" i="3"/>
  <c r="D248" i="3" s="1"/>
  <c r="C249" i="3"/>
  <c r="C250" i="3"/>
  <c r="D250" i="3" s="1"/>
  <c r="C251" i="3"/>
  <c r="D251" i="3" s="1"/>
  <c r="C252" i="3"/>
  <c r="D252" i="3" s="1"/>
  <c r="C253" i="3"/>
  <c r="C245" i="3"/>
  <c r="B243" i="3"/>
  <c r="C277" i="3"/>
  <c r="C278" i="3"/>
  <c r="C279" i="3"/>
  <c r="C280" i="3"/>
  <c r="C281" i="3"/>
  <c r="C282" i="3"/>
  <c r="C283" i="3"/>
  <c r="C284" i="3"/>
  <c r="C275" i="3"/>
  <c r="C276" i="3"/>
  <c r="A275" i="3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C274" i="3"/>
  <c r="C243" i="3"/>
  <c r="A244" i="3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C244" i="3"/>
  <c r="A262" i="3"/>
  <c r="A263" i="3" s="1"/>
  <c r="A264" i="3" s="1"/>
  <c r="A265" i="3" s="1"/>
  <c r="A266" i="3" s="1"/>
  <c r="A267" i="3" s="1"/>
  <c r="A268" i="3" s="1"/>
  <c r="A269" i="3" s="1"/>
  <c r="A270" i="3" s="1"/>
  <c r="A271" i="3" s="1"/>
  <c r="A231" i="3"/>
  <c r="A232" i="3" s="1"/>
  <c r="A233" i="3" s="1"/>
  <c r="A234" i="3" s="1"/>
  <c r="A235" i="3" s="1"/>
  <c r="A236" i="3" s="1"/>
  <c r="A237" i="3" s="1"/>
  <c r="A238" i="3" s="1"/>
  <c r="A239" i="3" s="1"/>
  <c r="A240" i="3" s="1"/>
  <c r="C195" i="3"/>
  <c r="D195" i="3" s="1"/>
  <c r="B197" i="3"/>
  <c r="D197" i="3" s="1"/>
  <c r="B198" i="3"/>
  <c r="D198" i="3" s="1"/>
  <c r="B199" i="3"/>
  <c r="D199" i="3" s="1"/>
  <c r="B200" i="3"/>
  <c r="D200" i="3" s="1"/>
  <c r="B201" i="3"/>
  <c r="D201" i="3" s="1"/>
  <c r="B202" i="3"/>
  <c r="D202" i="3" s="1"/>
  <c r="B203" i="3"/>
  <c r="D203" i="3" s="1"/>
  <c r="B204" i="3"/>
  <c r="D204" i="3" s="1"/>
  <c r="B205" i="3"/>
  <c r="D205" i="3" s="1"/>
  <c r="B206" i="3"/>
  <c r="D206" i="3" s="1"/>
  <c r="B207" i="3"/>
  <c r="D207" i="3" s="1"/>
  <c r="B208" i="3"/>
  <c r="D208" i="3" s="1"/>
  <c r="B209" i="3"/>
  <c r="D209" i="3" s="1"/>
  <c r="B210" i="3"/>
  <c r="D210" i="3" s="1"/>
  <c r="B211" i="3"/>
  <c r="D211" i="3" s="1"/>
  <c r="B212" i="3"/>
  <c r="D212" i="3" s="1"/>
  <c r="B213" i="3"/>
  <c r="D213" i="3" s="1"/>
  <c r="B214" i="3"/>
  <c r="D214" i="3" s="1"/>
  <c r="B215" i="3"/>
  <c r="D215" i="3" s="1"/>
  <c r="B216" i="3"/>
  <c r="D216" i="3" s="1"/>
  <c r="B217" i="3"/>
  <c r="D217" i="3" s="1"/>
  <c r="B218" i="3"/>
  <c r="D218" i="3" s="1"/>
  <c r="B219" i="3"/>
  <c r="D219" i="3" s="1"/>
  <c r="B196" i="3"/>
  <c r="D196" i="3" s="1"/>
  <c r="A196" i="3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C163" i="3"/>
  <c r="B187" i="3"/>
  <c r="D187" i="3" s="1"/>
  <c r="B165" i="3"/>
  <c r="D165" i="3" s="1"/>
  <c r="B166" i="3"/>
  <c r="D166" i="3" s="1"/>
  <c r="B167" i="3"/>
  <c r="D167" i="3" s="1"/>
  <c r="B168" i="3"/>
  <c r="D168" i="3" s="1"/>
  <c r="B169" i="3"/>
  <c r="D169" i="3" s="1"/>
  <c r="B170" i="3"/>
  <c r="D170" i="3" s="1"/>
  <c r="B171" i="3"/>
  <c r="D171" i="3" s="1"/>
  <c r="B172" i="3"/>
  <c r="D172" i="3" s="1"/>
  <c r="B173" i="3"/>
  <c r="D173" i="3" s="1"/>
  <c r="B174" i="3"/>
  <c r="D174" i="3" s="1"/>
  <c r="B175" i="3"/>
  <c r="D175" i="3" s="1"/>
  <c r="B176" i="3"/>
  <c r="D176" i="3" s="1"/>
  <c r="B177" i="3"/>
  <c r="D177" i="3" s="1"/>
  <c r="B178" i="3"/>
  <c r="D178" i="3" s="1"/>
  <c r="B179" i="3"/>
  <c r="D179" i="3" s="1"/>
  <c r="B180" i="3"/>
  <c r="D180" i="3" s="1"/>
  <c r="B181" i="3"/>
  <c r="D181" i="3" s="1"/>
  <c r="B182" i="3"/>
  <c r="D182" i="3" s="1"/>
  <c r="B183" i="3"/>
  <c r="D183" i="3" s="1"/>
  <c r="B184" i="3"/>
  <c r="D184" i="3" s="1"/>
  <c r="B185" i="3"/>
  <c r="D185" i="3" s="1"/>
  <c r="B186" i="3"/>
  <c r="D186" i="3" s="1"/>
  <c r="B164" i="3"/>
  <c r="D164" i="3" s="1"/>
  <c r="B163" i="3"/>
  <c r="A164" i="3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35" i="3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B125" i="3"/>
  <c r="D125" i="3" s="1"/>
  <c r="B115" i="3"/>
  <c r="D115" i="3" s="1"/>
  <c r="B116" i="3"/>
  <c r="D116" i="3" s="1"/>
  <c r="B117" i="3"/>
  <c r="D117" i="3" s="1"/>
  <c r="B118" i="3"/>
  <c r="D118" i="3" s="1"/>
  <c r="B119" i="3"/>
  <c r="D119" i="3" s="1"/>
  <c r="B120" i="3"/>
  <c r="D120" i="3" s="1"/>
  <c r="B121" i="3"/>
  <c r="D121" i="3" s="1"/>
  <c r="B122" i="3"/>
  <c r="D122" i="3" s="1"/>
  <c r="B123" i="3"/>
  <c r="D123" i="3" s="1"/>
  <c r="B124" i="3"/>
  <c r="D124" i="3" s="1"/>
  <c r="D114" i="3"/>
  <c r="C113" i="3"/>
  <c r="D113" i="3" s="1"/>
  <c r="A114" i="3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98" i="3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C42" i="3"/>
  <c r="B42" i="3"/>
  <c r="D10" i="5" l="1"/>
  <c r="C10" i="5" s="1"/>
  <c r="B102" i="2"/>
  <c r="D102" i="2" s="1"/>
  <c r="C102" i="2" s="1"/>
  <c r="D276" i="3"/>
  <c r="D254" i="3"/>
  <c r="D275" i="3"/>
  <c r="D281" i="3"/>
  <c r="D285" i="3"/>
  <c r="H124" i="3"/>
  <c r="D163" i="3"/>
  <c r="D188" i="3" s="1"/>
  <c r="D244" i="3"/>
  <c r="D279" i="3"/>
  <c r="D245" i="3"/>
  <c r="D322" i="3"/>
  <c r="D282" i="3"/>
  <c r="D278" i="3"/>
  <c r="B286" i="3"/>
  <c r="D283" i="3"/>
  <c r="C305" i="3"/>
  <c r="E328" i="3"/>
  <c r="C255" i="3"/>
  <c r="D277" i="3"/>
  <c r="C301" i="3"/>
  <c r="E324" i="3"/>
  <c r="C286" i="3"/>
  <c r="D284" i="3"/>
  <c r="D280" i="3"/>
  <c r="B255" i="3"/>
  <c r="D274" i="3"/>
  <c r="E323" i="3"/>
  <c r="D243" i="3"/>
  <c r="D253" i="3"/>
  <c r="D249" i="3"/>
  <c r="C299" i="3"/>
  <c r="C303" i="3"/>
  <c r="E322" i="3"/>
  <c r="E326" i="3"/>
  <c r="C304" i="3"/>
  <c r="C300" i="3"/>
  <c r="E327" i="3"/>
  <c r="C306" i="3"/>
  <c r="E329" i="3"/>
  <c r="B103" i="2"/>
  <c r="D103" i="2" s="1"/>
  <c r="C103" i="2" s="1"/>
  <c r="E14" i="4"/>
  <c r="B15" i="4" s="1"/>
  <c r="D15" i="4" s="1"/>
  <c r="D221" i="3"/>
  <c r="D42" i="3"/>
  <c r="D81" i="3"/>
  <c r="B72" i="3"/>
  <c r="D72" i="3" s="1"/>
  <c r="F69" i="3"/>
  <c r="C75" i="3" s="1"/>
  <c r="D55" i="3"/>
  <c r="B62" i="3"/>
  <c r="E58" i="3" s="1"/>
  <c r="D36" i="3"/>
  <c r="B4" i="3"/>
  <c r="D7" i="3"/>
  <c r="C16" i="3" s="1"/>
  <c r="C5" i="3"/>
  <c r="C6" i="3"/>
  <c r="C7" i="3"/>
  <c r="B16" i="3" s="1"/>
  <c r="C4" i="3"/>
  <c r="H11" i="2"/>
  <c r="I73" i="2"/>
  <c r="B70" i="2" s="1"/>
  <c r="D70" i="2" s="1"/>
  <c r="I71" i="2"/>
  <c r="C71" i="2" s="1"/>
  <c r="B38" i="2"/>
  <c r="D38" i="2" s="1"/>
  <c r="H39" i="2"/>
  <c r="E42" i="2" s="1"/>
  <c r="D8" i="2"/>
  <c r="E8" i="2" s="1"/>
  <c r="E175" i="1"/>
  <c r="D167" i="1"/>
  <c r="D11" i="5" l="1"/>
  <c r="C11" i="5" s="1"/>
  <c r="C74" i="2"/>
  <c r="B12" i="3"/>
  <c r="D287" i="3"/>
  <c r="D256" i="3"/>
  <c r="C322" i="3"/>
  <c r="E330" i="3"/>
  <c r="F322" i="3"/>
  <c r="F323" i="3" s="1"/>
  <c r="F324" i="3" s="1"/>
  <c r="F325" i="3" s="1"/>
  <c r="F326" i="3" s="1"/>
  <c r="F327" i="3" s="1"/>
  <c r="F328" i="3" s="1"/>
  <c r="F329" i="3" s="1"/>
  <c r="B323" i="3"/>
  <c r="B13" i="3"/>
  <c r="D13" i="3" s="1"/>
  <c r="E299" i="3"/>
  <c r="B104" i="2"/>
  <c r="D104" i="2" s="1"/>
  <c r="C104" i="2" s="1"/>
  <c r="F102" i="2"/>
  <c r="F103" i="2" s="1"/>
  <c r="C70" i="2"/>
  <c r="E70" i="2" s="1"/>
  <c r="B9" i="2"/>
  <c r="F8" i="2"/>
  <c r="E38" i="2"/>
  <c r="E40" i="2"/>
  <c r="C77" i="2"/>
  <c r="C73" i="2"/>
  <c r="E41" i="2"/>
  <c r="E43" i="2"/>
  <c r="E39" i="2"/>
  <c r="C76" i="2"/>
  <c r="C72" i="2"/>
  <c r="C75" i="2"/>
  <c r="D176" i="1"/>
  <c r="C219" i="1" s="1"/>
  <c r="F175" i="1"/>
  <c r="F14" i="4"/>
  <c r="E15" i="4"/>
  <c r="F15" i="4" s="1"/>
  <c r="E87" i="3"/>
  <c r="B14" i="3"/>
  <c r="D14" i="3" s="1"/>
  <c r="E14" i="3" s="1"/>
  <c r="C74" i="3"/>
  <c r="C72" i="3"/>
  <c r="C73" i="3"/>
  <c r="C43" i="3"/>
  <c r="D16" i="3"/>
  <c r="E16" i="3" s="1"/>
  <c r="D37" i="3"/>
  <c r="E59" i="3"/>
  <c r="C76" i="3"/>
  <c r="B15" i="3"/>
  <c r="D15" i="3" s="1"/>
  <c r="E15" i="3" s="1"/>
  <c r="D12" i="3"/>
  <c r="E12" i="3" s="1"/>
  <c r="E42" i="3"/>
  <c r="C88" i="3"/>
  <c r="D82" i="3"/>
  <c r="E57" i="3"/>
  <c r="E55" i="3"/>
  <c r="E56" i="3"/>
  <c r="E199" i="1"/>
  <c r="F199" i="1" s="1"/>
  <c r="B208" i="1" s="1"/>
  <c r="E200" i="1"/>
  <c r="F200" i="1" s="1"/>
  <c r="E201" i="1"/>
  <c r="F201" i="1" s="1"/>
  <c r="E202" i="1"/>
  <c r="F202" i="1" s="1"/>
  <c r="E203" i="1"/>
  <c r="F203" i="1" s="1"/>
  <c r="E204" i="1"/>
  <c r="F204" i="1" s="1"/>
  <c r="D168" i="1"/>
  <c r="D169" i="1"/>
  <c r="D170" i="1"/>
  <c r="D180" i="1" s="1"/>
  <c r="C168" i="1"/>
  <c r="C169" i="1"/>
  <c r="C170" i="1"/>
  <c r="C167" i="1"/>
  <c r="D130" i="1"/>
  <c r="C112" i="1"/>
  <c r="D127" i="1"/>
  <c r="D143" i="1" s="1"/>
  <c r="D126" i="1"/>
  <c r="D142" i="1" s="1"/>
  <c r="D118" i="1"/>
  <c r="D125" i="1" s="1"/>
  <c r="D141" i="1" s="1"/>
  <c r="D117" i="1"/>
  <c r="C117" i="1"/>
  <c r="C118" i="1" s="1"/>
  <c r="C119" i="1" s="1"/>
  <c r="C120" i="1" s="1"/>
  <c r="C127" i="1" s="1"/>
  <c r="C143" i="1" s="1"/>
  <c r="D12" i="5" l="1"/>
  <c r="C12" i="5" s="1"/>
  <c r="D13" i="5"/>
  <c r="C13" i="5" s="1"/>
  <c r="C78" i="2"/>
  <c r="E21" i="3"/>
  <c r="E13" i="3"/>
  <c r="E17" i="3" s="1"/>
  <c r="B324" i="3"/>
  <c r="D323" i="3"/>
  <c r="C323" i="3" s="1"/>
  <c r="B300" i="3"/>
  <c r="F299" i="3"/>
  <c r="E44" i="2"/>
  <c r="F39" i="2"/>
  <c r="F40" i="2" s="1"/>
  <c r="F41" i="2" s="1"/>
  <c r="F42" i="2" s="1"/>
  <c r="F43" i="2" s="1"/>
  <c r="F38" i="2"/>
  <c r="B39" i="2"/>
  <c r="D9" i="2"/>
  <c r="E9" i="2" s="1"/>
  <c r="B10" i="2" s="1"/>
  <c r="B71" i="2"/>
  <c r="F70" i="2"/>
  <c r="C38" i="2"/>
  <c r="C176" i="1"/>
  <c r="B219" i="1" s="1"/>
  <c r="C177" i="1"/>
  <c r="C180" i="1"/>
  <c r="E180" i="1" s="1"/>
  <c r="F180" i="1" s="1"/>
  <c r="C179" i="1"/>
  <c r="B222" i="1" s="1"/>
  <c r="D178" i="1"/>
  <c r="C221" i="1" s="1"/>
  <c r="B220" i="1"/>
  <c r="C223" i="1"/>
  <c r="D179" i="1"/>
  <c r="C222" i="1" s="1"/>
  <c r="D177" i="1"/>
  <c r="C220" i="1" s="1"/>
  <c r="C224" i="1" s="1"/>
  <c r="B16" i="4"/>
  <c r="D38" i="3"/>
  <c r="C45" i="3" s="1"/>
  <c r="C44" i="3"/>
  <c r="E72" i="3"/>
  <c r="B90" i="3"/>
  <c r="E19" i="3"/>
  <c r="D83" i="3"/>
  <c r="C90" i="3" s="1"/>
  <c r="C89" i="3"/>
  <c r="B56" i="3"/>
  <c r="F55" i="3"/>
  <c r="F56" i="3" s="1"/>
  <c r="F57" i="3" s="1"/>
  <c r="F58" i="3" s="1"/>
  <c r="F59" i="3" s="1"/>
  <c r="C55" i="3"/>
  <c r="B43" i="3" s="1"/>
  <c r="D43" i="3" s="1"/>
  <c r="E60" i="3"/>
  <c r="C123" i="1"/>
  <c r="C139" i="1" s="1"/>
  <c r="C178" i="1"/>
  <c r="B184" i="1"/>
  <c r="E211" i="1"/>
  <c r="E213" i="1"/>
  <c r="F205" i="1"/>
  <c r="D124" i="1"/>
  <c r="D140" i="1" s="1"/>
  <c r="D123" i="1"/>
  <c r="D139" i="1" s="1"/>
  <c r="E127" i="1"/>
  <c r="F127" i="1" s="1"/>
  <c r="C126" i="1"/>
  <c r="C125" i="1"/>
  <c r="C124" i="1"/>
  <c r="C140" i="1" s="1"/>
  <c r="C96" i="1"/>
  <c r="D96" i="1"/>
  <c r="D92" i="1"/>
  <c r="D93" i="1"/>
  <c r="D94" i="1"/>
  <c r="D95" i="1"/>
  <c r="D91" i="1"/>
  <c r="D90" i="1"/>
  <c r="C92" i="1"/>
  <c r="C93" i="1"/>
  <c r="C94" i="1"/>
  <c r="C95" i="1"/>
  <c r="C91" i="1"/>
  <c r="D47" i="1"/>
  <c r="E47" i="1" s="1"/>
  <c r="D51" i="1"/>
  <c r="E51" i="1" s="1"/>
  <c r="D50" i="1"/>
  <c r="E50" i="1" s="1"/>
  <c r="D49" i="1"/>
  <c r="E49" i="1" s="1"/>
  <c r="D48" i="1"/>
  <c r="E179" i="1" l="1"/>
  <c r="F179" i="1" s="1"/>
  <c r="E90" i="3"/>
  <c r="B325" i="3"/>
  <c r="D324" i="3"/>
  <c r="C324" i="3" s="1"/>
  <c r="D300" i="3"/>
  <c r="E300" i="3" s="1"/>
  <c r="F300" i="3" s="1"/>
  <c r="B105" i="2"/>
  <c r="D105" i="2" s="1"/>
  <c r="C105" i="2" s="1"/>
  <c r="F104" i="2"/>
  <c r="D10" i="2"/>
  <c r="E10" i="2" s="1"/>
  <c r="B11" i="2" s="1"/>
  <c r="D71" i="2"/>
  <c r="E71" i="2" s="1"/>
  <c r="B72" i="2" s="1"/>
  <c r="D39" i="2"/>
  <c r="C39" i="2" s="1"/>
  <c r="B40" i="2"/>
  <c r="F9" i="2"/>
  <c r="B223" i="1"/>
  <c r="E177" i="1"/>
  <c r="F177" i="1" s="1"/>
  <c r="E126" i="1"/>
  <c r="F126" i="1" s="1"/>
  <c r="C142" i="1"/>
  <c r="E123" i="1"/>
  <c r="F123" i="1" s="1"/>
  <c r="D144" i="1"/>
  <c r="E176" i="1"/>
  <c r="E186" i="1" s="1"/>
  <c r="E125" i="1"/>
  <c r="F125" i="1" s="1"/>
  <c r="C141" i="1"/>
  <c r="E178" i="1"/>
  <c r="F178" i="1" s="1"/>
  <c r="B221" i="1"/>
  <c r="B224" i="1" s="1"/>
  <c r="C225" i="1" s="1"/>
  <c r="D16" i="4"/>
  <c r="E16" i="4" s="1"/>
  <c r="E88" i="3"/>
  <c r="E89" i="3"/>
  <c r="E43" i="3"/>
  <c r="B73" i="3"/>
  <c r="F72" i="3"/>
  <c r="D39" i="3"/>
  <c r="C47" i="3" s="1"/>
  <c r="D84" i="3"/>
  <c r="D56" i="3"/>
  <c r="C56" i="3" s="1"/>
  <c r="B44" i="3" s="1"/>
  <c r="D44" i="3" s="1"/>
  <c r="B57" i="3"/>
  <c r="D56" i="1"/>
  <c r="E124" i="1"/>
  <c r="F124" i="1" s="1"/>
  <c r="E90" i="1"/>
  <c r="D55" i="1"/>
  <c r="E93" i="1"/>
  <c r="F93" i="1" s="1"/>
  <c r="E91" i="1"/>
  <c r="F91" i="1" s="1"/>
  <c r="E96" i="1"/>
  <c r="F96" i="1" s="1"/>
  <c r="E95" i="1"/>
  <c r="F95" i="1" s="1"/>
  <c r="E94" i="1"/>
  <c r="F94" i="1" s="1"/>
  <c r="E92" i="1"/>
  <c r="F92" i="1" s="1"/>
  <c r="E48" i="1"/>
  <c r="E52" i="1" s="1"/>
  <c r="D8" i="1"/>
  <c r="E8" i="1" s="1"/>
  <c r="E9" i="1"/>
  <c r="F9" i="1" s="1"/>
  <c r="E10" i="1"/>
  <c r="F10" i="1" s="1"/>
  <c r="E11" i="1"/>
  <c r="F11" i="1" s="1"/>
  <c r="E12" i="1"/>
  <c r="F12" i="1" s="1"/>
  <c r="F10" i="2" l="1"/>
  <c r="F176" i="1"/>
  <c r="F181" i="1" s="1"/>
  <c r="E92" i="3"/>
  <c r="B326" i="3"/>
  <c r="D325" i="3"/>
  <c r="C325" i="3" s="1"/>
  <c r="B301" i="3"/>
  <c r="F105" i="2"/>
  <c r="B106" i="2"/>
  <c r="D106" i="2" s="1"/>
  <c r="C106" i="2" s="1"/>
  <c r="D72" i="2"/>
  <c r="E72" i="2" s="1"/>
  <c r="B73" i="2" s="1"/>
  <c r="D11" i="2"/>
  <c r="E11" i="2" s="1"/>
  <c r="B12" i="2" s="1"/>
  <c r="D40" i="2"/>
  <c r="C40" i="2" s="1"/>
  <c r="B41" i="2"/>
  <c r="F71" i="2"/>
  <c r="C144" i="1"/>
  <c r="E139" i="1" s="1"/>
  <c r="D133" i="1"/>
  <c r="D15" i="1"/>
  <c r="E187" i="1"/>
  <c r="B17" i="4"/>
  <c r="D17" i="4" s="1"/>
  <c r="F16" i="4"/>
  <c r="E17" i="4"/>
  <c r="F17" i="4" s="1"/>
  <c r="E44" i="3"/>
  <c r="C46" i="3"/>
  <c r="D73" i="3"/>
  <c r="E73" i="3" s="1"/>
  <c r="B74" i="3" s="1"/>
  <c r="C91" i="3"/>
  <c r="E91" i="3" s="1"/>
  <c r="D57" i="3"/>
  <c r="C57" i="3" s="1"/>
  <c r="B45" i="3" s="1"/>
  <c r="D45" i="3" s="1"/>
  <c r="B58" i="3"/>
  <c r="D134" i="1"/>
  <c r="F128" i="1"/>
  <c r="D101" i="1"/>
  <c r="D100" i="1"/>
  <c r="F90" i="1"/>
  <c r="F97" i="1" s="1"/>
  <c r="F8" i="1"/>
  <c r="F13" i="1" s="1"/>
  <c r="D17" i="1"/>
  <c r="F11" i="2" l="1"/>
  <c r="B327" i="3"/>
  <c r="D326" i="3"/>
  <c r="C326" i="3" s="1"/>
  <c r="D301" i="3"/>
  <c r="E301" i="3" s="1"/>
  <c r="F301" i="3" s="1"/>
  <c r="F106" i="2"/>
  <c r="D73" i="2"/>
  <c r="D41" i="2"/>
  <c r="C41" i="2" s="1"/>
  <c r="B42" i="2"/>
  <c r="H17" i="2"/>
  <c r="D12" i="2"/>
  <c r="E12" i="2" s="1"/>
  <c r="F72" i="2"/>
  <c r="B18" i="4"/>
  <c r="D18" i="4" s="1"/>
  <c r="E18" i="4"/>
  <c r="F18" i="4" s="1"/>
  <c r="F73" i="3"/>
  <c r="H91" i="3"/>
  <c r="E45" i="3"/>
  <c r="D74" i="3"/>
  <c r="E74" i="3" s="1"/>
  <c r="B75" i="3" s="1"/>
  <c r="E93" i="3"/>
  <c r="B59" i="3"/>
  <c r="D59" i="3" s="1"/>
  <c r="C59" i="3" s="1"/>
  <c r="B47" i="3" s="1"/>
  <c r="D47" i="3" s="1"/>
  <c r="E47" i="3" s="1"/>
  <c r="D58" i="3"/>
  <c r="C58" i="3" s="1"/>
  <c r="B46" i="3" s="1"/>
  <c r="D46" i="3" s="1"/>
  <c r="B302" i="3" l="1"/>
  <c r="B328" i="3"/>
  <c r="D327" i="3"/>
  <c r="C327" i="3" s="1"/>
  <c r="B107" i="2"/>
  <c r="H46" i="2"/>
  <c r="B13" i="2"/>
  <c r="D13" i="2" s="1"/>
  <c r="E13" i="2" s="1"/>
  <c r="E14" i="2" s="1"/>
  <c r="F12" i="2"/>
  <c r="C81" i="2"/>
  <c r="E73" i="2"/>
  <c r="B43" i="2"/>
  <c r="D42" i="2"/>
  <c r="C42" i="2" s="1"/>
  <c r="B19" i="4"/>
  <c r="G43" i="3"/>
  <c r="F74" i="3"/>
  <c r="E46" i="3"/>
  <c r="E48" i="3" s="1"/>
  <c r="G42" i="3"/>
  <c r="D75" i="3"/>
  <c r="E75" i="3" s="1"/>
  <c r="E108" i="2" l="1"/>
  <c r="D107" i="2"/>
  <c r="C107" i="2" s="1"/>
  <c r="C108" i="2" s="1"/>
  <c r="F75" i="3"/>
  <c r="B329" i="3"/>
  <c r="D329" i="3" s="1"/>
  <c r="C329" i="3" s="1"/>
  <c r="D328" i="3"/>
  <c r="C328" i="3" s="1"/>
  <c r="D302" i="3"/>
  <c r="E302" i="3" s="1"/>
  <c r="F302" i="3" s="1"/>
  <c r="F107" i="2"/>
  <c r="F13" i="2"/>
  <c r="B44" i="2"/>
  <c r="D43" i="2"/>
  <c r="C43" i="2" s="1"/>
  <c r="C82" i="2"/>
  <c r="B74" i="2"/>
  <c r="F73" i="2"/>
  <c r="D19" i="4"/>
  <c r="E19" i="4" s="1"/>
  <c r="B76" i="3"/>
  <c r="D76" i="3" s="1"/>
  <c r="E76" i="3" s="1"/>
  <c r="F76" i="3" s="1"/>
  <c r="B303" i="3" l="1"/>
  <c r="D303" i="3" s="1"/>
  <c r="E303" i="3" s="1"/>
  <c r="F303" i="3" s="1"/>
  <c r="C83" i="2"/>
  <c r="D74" i="2"/>
  <c r="E74" i="2" s="1"/>
  <c r="B75" i="2"/>
  <c r="F19" i="4"/>
  <c r="B20" i="4"/>
  <c r="E77" i="3"/>
  <c r="B304" i="3" l="1"/>
  <c r="D75" i="2"/>
  <c r="E75" i="2" s="1"/>
  <c r="B76" i="2" s="1"/>
  <c r="F74" i="2"/>
  <c r="F75" i="2" s="1"/>
  <c r="D20" i="4"/>
  <c r="E20" i="4" s="1"/>
  <c r="D304" i="3" l="1"/>
  <c r="E304" i="3" s="1"/>
  <c r="F304" i="3" s="1"/>
  <c r="D76" i="2"/>
  <c r="E76" i="2" s="1"/>
  <c r="F76" i="2" s="1"/>
  <c r="E21" i="4"/>
  <c r="F20" i="4"/>
  <c r="B305" i="3" l="1"/>
  <c r="B77" i="2"/>
  <c r="D77" i="2" s="1"/>
  <c r="E77" i="2" s="1"/>
  <c r="E78" i="2" s="1"/>
  <c r="D305" i="3" l="1"/>
  <c r="E305" i="3" s="1"/>
  <c r="F305" i="3" s="1"/>
  <c r="F77" i="2"/>
  <c r="B306" i="3" l="1"/>
  <c r="D306" i="3" s="1"/>
  <c r="E306" i="3" s="1"/>
  <c r="E307" i="3" s="1"/>
  <c r="F306" i="3" l="1"/>
</calcChain>
</file>

<file path=xl/comments1.xml><?xml version="1.0" encoding="utf-8"?>
<comments xmlns="http://schemas.openxmlformats.org/spreadsheetml/2006/main">
  <authors>
    <author>Camila</author>
  </authors>
  <commentList>
    <comment ref="C139" authorId="0" shapeId="0">
      <text>
        <r>
          <rPr>
            <b/>
            <sz val="9"/>
            <color indexed="81"/>
            <rFont val="Tahoma"/>
            <family val="2"/>
          </rPr>
          <t>Camila:</t>
        </r>
        <r>
          <rPr>
            <sz val="9"/>
            <color indexed="81"/>
            <rFont val="Tahoma"/>
            <family val="2"/>
          </rPr>
          <t xml:space="preserve">
TENER EN CUENTA LA INVERSION
</t>
        </r>
      </text>
    </comment>
  </commentList>
</comments>
</file>

<file path=xl/sharedStrings.xml><?xml version="1.0" encoding="utf-8"?>
<sst xmlns="http://schemas.openxmlformats.org/spreadsheetml/2006/main" count="552" uniqueCount="208">
  <si>
    <t>Problema 23</t>
  </si>
  <si>
    <t>Ingresos</t>
  </si>
  <si>
    <t>Egresos</t>
  </si>
  <si>
    <t>Io</t>
  </si>
  <si>
    <t>COK</t>
  </si>
  <si>
    <t>n</t>
  </si>
  <si>
    <t>Calcular el VAN y TIR</t>
  </si>
  <si>
    <t>Fn/(1+0,0625)^n</t>
  </si>
  <si>
    <t>VAN(6,25%)</t>
  </si>
  <si>
    <t>Flujo de caja(Fn)</t>
  </si>
  <si>
    <t>Momento (n)</t>
  </si>
  <si>
    <t xml:space="preserve">ACTUALIZACION AL </t>
  </si>
  <si>
    <t>MOMENTO 0</t>
  </si>
  <si>
    <t>TIR</t>
  </si>
  <si>
    <t>CONCLUSIÓN:</t>
  </si>
  <si>
    <t>TIR&gt;COK</t>
  </si>
  <si>
    <t>ACEPTO</t>
  </si>
  <si>
    <t>VAN&gt;0</t>
  </si>
  <si>
    <t>VAN</t>
  </si>
  <si>
    <t>TIR(suma Fn;COK)</t>
  </si>
  <si>
    <t>VNA(COK;suma de fn)+(-Io)</t>
  </si>
  <si>
    <t>ejemplo de calse</t>
  </si>
  <si>
    <t>Ejercicio 38</t>
  </si>
  <si>
    <t xml:space="preserve">TASA </t>
  </si>
  <si>
    <t>Fn/(1+20%)^n</t>
  </si>
  <si>
    <t>VNA(COK;suma de fn sin Io)+(-Io)</t>
  </si>
  <si>
    <t>TIR&lt;COK</t>
  </si>
  <si>
    <t>VAN&lt;0</t>
  </si>
  <si>
    <t>rechazo</t>
  </si>
  <si>
    <t>Ejercicio 39</t>
  </si>
  <si>
    <t xml:space="preserve">Periodo </t>
  </si>
  <si>
    <t>TASA</t>
  </si>
  <si>
    <t>Fn/(1+18%)^n</t>
  </si>
  <si>
    <t>momento</t>
  </si>
  <si>
    <t>Discretizar</t>
  </si>
  <si>
    <t>Inversion</t>
  </si>
  <si>
    <t>Egreso</t>
  </si>
  <si>
    <t>Ingreso</t>
  </si>
  <si>
    <t>Flujo de Caja</t>
  </si>
  <si>
    <t>INVERSION</t>
  </si>
  <si>
    <t>Ejercicio 40</t>
  </si>
  <si>
    <t>Ejercicio A</t>
  </si>
  <si>
    <t>PERIODO</t>
  </si>
  <si>
    <t>MOMENTO</t>
  </si>
  <si>
    <t>EGRESO</t>
  </si>
  <si>
    <t>INGRESO</t>
  </si>
  <si>
    <t>FLUJO DE CAJA</t>
  </si>
  <si>
    <t>Fn/(1+27%)^n</t>
  </si>
  <si>
    <t>tasa banco</t>
  </si>
  <si>
    <t>tasa banco(COK)</t>
  </si>
  <si>
    <t>1)</t>
  </si>
  <si>
    <t>DISCRETIZAR</t>
  </si>
  <si>
    <t>2)</t>
  </si>
  <si>
    <t>HOJA</t>
  </si>
  <si>
    <t>Ejercicio B</t>
  </si>
  <si>
    <t>FN</t>
  </si>
  <si>
    <t>RECHAZO</t>
  </si>
  <si>
    <t>PROCESO 2</t>
  </si>
  <si>
    <t>PROCESO 1</t>
  </si>
  <si>
    <t>CALCULAR RBC</t>
  </si>
  <si>
    <t>VAE</t>
  </si>
  <si>
    <t>VAI</t>
  </si>
  <si>
    <t>RBC(20%)=</t>
  </si>
  <si>
    <t>periodo</t>
  </si>
  <si>
    <t>total de amortizacion acumulada</t>
  </si>
  <si>
    <t>i</t>
  </si>
  <si>
    <t>cuotas</t>
  </si>
  <si>
    <t>amortiz.=</t>
  </si>
  <si>
    <t>CUOTA-INTERES</t>
  </si>
  <si>
    <t>SISTEMA FRANCES</t>
  </si>
  <si>
    <t>valor cuota, cte</t>
  </si>
  <si>
    <t>valor interes sobre el saldo. (i*saldo)</t>
  </si>
  <si>
    <t>amortizacion real. Amort.=Cuota-intres</t>
  </si>
  <si>
    <t>interes decreciente</t>
  </si>
  <si>
    <t>amortizacion creciente</t>
  </si>
  <si>
    <t>cuota constante</t>
  </si>
  <si>
    <t>Deuda            (saldo-amortiza)</t>
  </si>
  <si>
    <t>Para cancelar la deuda en el 4to periodo debera pagar la cuota 4 mas el saldo que le queda</t>
  </si>
  <si>
    <t>ejercicio 35</t>
  </si>
  <si>
    <t>SISTEMA ALEMAN</t>
  </si>
  <si>
    <t>AMORTIZ=</t>
  </si>
  <si>
    <t>V/n</t>
  </si>
  <si>
    <t>V=</t>
  </si>
  <si>
    <t>n=</t>
  </si>
  <si>
    <t>cuota decreciente</t>
  </si>
  <si>
    <t>amortizacion constante</t>
  </si>
  <si>
    <t>i=</t>
  </si>
  <si>
    <t>ejercicio 36</t>
  </si>
  <si>
    <t>INTERES</t>
  </si>
  <si>
    <t>CUOTA</t>
  </si>
  <si>
    <t>deuda (V)</t>
  </si>
  <si>
    <t>Valor Interes sobre el saldo. (i*saldo)</t>
  </si>
  <si>
    <t>amortizacion real. Amort.=Cuota-Intres</t>
  </si>
  <si>
    <t>PARA LA CUOTA 4:</t>
  </si>
  <si>
    <t>VALOR INTRES</t>
  </si>
  <si>
    <t>VALOR AMORTZ.</t>
  </si>
  <si>
    <t>TOTAL AMORTZ.</t>
  </si>
  <si>
    <t>VALOR cuota</t>
  </si>
  <si>
    <t>costosxmes</t>
  </si>
  <si>
    <t>cok</t>
  </si>
  <si>
    <t>Ganancias (4)</t>
  </si>
  <si>
    <t>inversion</t>
  </si>
  <si>
    <t>Fn/(1+1,71%)^n</t>
  </si>
  <si>
    <t>TIR(1,71%)</t>
  </si>
  <si>
    <t>EJERCICIO 42_C)</t>
  </si>
  <si>
    <t>amortizacion real. (Amort.=Cuota-intres)</t>
  </si>
  <si>
    <t>valor cuota, decrece. (C=A+I)</t>
  </si>
  <si>
    <t>valor interes sobre el saldo. (I=i*saldo)</t>
  </si>
  <si>
    <t xml:space="preserve">Al discretizar, debo tener encuenta el egreso de dinero debido a la cuota que hay que pagar </t>
  </si>
  <si>
    <t>por pedir un crédito. La misma se paga al final de cada periodo.</t>
  </si>
  <si>
    <t xml:space="preserve">La inversion se hace en el momento cero. </t>
  </si>
  <si>
    <t>RECHAZO PROYECTO</t>
  </si>
  <si>
    <t>QUE PASABA CON EL PROYECTO, SI EL CREDITO ERA POR EL SISTEMA ERA FRANCES???</t>
  </si>
  <si>
    <t>valor cuota (C=A+I) DECRECIENTE</t>
  </si>
  <si>
    <t>valor cuota, cte (C=A+I)</t>
  </si>
  <si>
    <t>V</t>
  </si>
  <si>
    <t>Fn/(1+18,89%)^n</t>
  </si>
  <si>
    <t>Dbemos tener en cuenta que no ingresa un credito de 3 millones</t>
  </si>
  <si>
    <t>EJERCICIO 44</t>
  </si>
  <si>
    <t>Fn</t>
  </si>
  <si>
    <t>COK=</t>
  </si>
  <si>
    <t>COK MENSUAL</t>
  </si>
  <si>
    <t xml:space="preserve">La cuota se paga al final de cada período </t>
  </si>
  <si>
    <t>El crédito ingresa en el momento cero</t>
  </si>
  <si>
    <t>El cok se calculo en papel</t>
  </si>
  <si>
    <t>NO ES UN BUEN PROYECTO</t>
  </si>
  <si>
    <t>ANUAL</t>
  </si>
  <si>
    <t>EJERCICIO 45</t>
  </si>
  <si>
    <t>OTROS GASTOS</t>
  </si>
  <si>
    <t>MOMENTO 24</t>
  </si>
  <si>
    <t>flujo</t>
  </si>
  <si>
    <t>TIR=</t>
  </si>
  <si>
    <t>TIR=COSTO FINANCIERO TOTAL</t>
  </si>
  <si>
    <t>EJERCICIO 46)</t>
  </si>
  <si>
    <t>PROYECTO A</t>
  </si>
  <si>
    <t xml:space="preserve">PROYECTO B </t>
  </si>
  <si>
    <t>SUMA</t>
  </si>
  <si>
    <t>EL TIR DEL PROYECTO A ES MAYOR</t>
  </si>
  <si>
    <t xml:space="preserve"> QUE EL DEL PROYECTO B</t>
  </si>
  <si>
    <t>PARTE 1</t>
  </si>
  <si>
    <t>PARTE 2</t>
  </si>
  <si>
    <t>PARTE 3</t>
  </si>
  <si>
    <t>INTERES MENS.</t>
  </si>
  <si>
    <t>MOMENTOS</t>
  </si>
  <si>
    <t>RBC(27%)</t>
  </si>
  <si>
    <t xml:space="preserve">Cuál será el valor de la cuota de un préstamo de $ 85.000, si se lo solicita en 8 cuotas anuales y la tasa de interés es del 12% anual. Considerar las </t>
  </si>
  <si>
    <t>cuotas vencidas. Se solicita también detallar la composición de cada  una de las cuotas. (Sistema Francés).</t>
  </si>
  <si>
    <t>DATOS:</t>
  </si>
  <si>
    <t>cuota=</t>
  </si>
  <si>
    <t>parte arriba</t>
  </si>
  <si>
    <t>parte abajo</t>
  </si>
  <si>
    <t>Fn/(1+12%)^n</t>
  </si>
  <si>
    <t>TASA INT</t>
  </si>
  <si>
    <t>LA TASA Y EL TIR SON IGUALES</t>
  </si>
  <si>
    <t xml:space="preserve">Siguiendo con el ejemplo de la ventana 1, se incorporan ciertos ítems deribados de la financiación, </t>
  </si>
  <si>
    <t>que al momento de contemplarlos definimos el CFT (costo financiero total). Analizado su impacto en ambos sistemas de amortización, generará tasas diferenciales.</t>
  </si>
  <si>
    <t>IVA</t>
  </si>
  <si>
    <t>Gtos Gestión</t>
  </si>
  <si>
    <t>Seguro de Vida</t>
  </si>
  <si>
    <t>Intereses (21%)</t>
  </si>
  <si>
    <t>Crédito (2%)</t>
  </si>
  <si>
    <t>$ 117 P Período</t>
  </si>
  <si>
    <t>TOTAL</t>
  </si>
  <si>
    <t>suma</t>
  </si>
  <si>
    <t>CUANDO TENGO EN CUENTA TODOS LO DEMAS COSTOS VEO QUE EL TIR CAMBIA. ESOS SERIAN LOS INNTERESES QUE REALMENTE ESTOY PAGANDO</t>
  </si>
  <si>
    <t>CFT</t>
  </si>
  <si>
    <t>Datos:</t>
  </si>
  <si>
    <t>TIR(suma Fn)</t>
  </si>
  <si>
    <t>ANEXO</t>
  </si>
  <si>
    <t>( ES MAYOR A 1)</t>
  </si>
  <si>
    <t>(MAYOR A 1)</t>
  </si>
  <si>
    <t>(MENOR A  1)</t>
  </si>
  <si>
    <t>Cuál será el valor de la cuota de un préstamo de $ 50.000, si se lo solicita en 6 cuotas y</t>
  </si>
  <si>
    <t>la tasa de interés es del 2%. Se solicita detallar la composición de cada una de las cuotas.</t>
  </si>
  <si>
    <t>Calcule cuánto debería abonar al pagar la 4ta. cuota si allí quisiera cancelar el crédito.</t>
  </si>
  <si>
    <t>Resolver el ejercicio 34 por el Sistema Alemán. Se solicita también detallar la</t>
  </si>
  <si>
    <t>composición de cada una de las cuotas. Calcule cuánto debería abonar al pagar la 4ta. Cuota</t>
  </si>
  <si>
    <t>si allí quisiera cancelar el crédito. Analizando la resolución de los ejercicios 34 y 35, luego</t>
  </si>
  <si>
    <t>opine desde el punto de vista financiero, ¿cuál de las dos alternativas es más conveniente??</t>
  </si>
  <si>
    <t>EJERCICIO 34)</t>
  </si>
  <si>
    <t>¿Cuál será el valor de la cuota de un préstamo de $ 85.000, si se lo solicita en 8 cuotas</t>
  </si>
  <si>
    <t>anuales y la tasa de interés es del 12% anual? Considerar las cuotas vencidas. Se solicita</t>
  </si>
  <si>
    <t>desarrollar el cuadro completo de amortización (Sistema Francés).</t>
  </si>
  <si>
    <t>ACUMULADO</t>
  </si>
  <si>
    <t>ejercicio 37)</t>
  </si>
  <si>
    <t>Siguiendo con el ejemplo anterior, se solicita desarrollar el cuadro completo de</t>
  </si>
  <si>
    <t>amortización mediante el sistema Alemán.</t>
  </si>
  <si>
    <t>amortizacion real. Amort.=CTE.</t>
  </si>
  <si>
    <t>amortizacion real. Amort.=CTEs</t>
  </si>
  <si>
    <t>valor cuota. C=A+I</t>
  </si>
  <si>
    <t>El sistema que elija dependera de la situacion economica del inversor, ya que si opta por el sistema aleman deberá pagar</t>
  </si>
  <si>
    <t xml:space="preserve">y al cancelar la deuda en el 4to periodo debera pagar un menor valor que si la cancelara en el sistema frances. </t>
  </si>
  <si>
    <t xml:space="preserve">Mientras que en el frances pagara una cuota constante y si la cancela en el 4to pagara un valor mas alto que en el aleman, </t>
  </si>
  <si>
    <t>pero hay que conciderr que el inversor en este sistema comenzo pagando una cuota de menor valor que en el aleman.</t>
  </si>
  <si>
    <t>EJERCICIO 43_C)</t>
  </si>
  <si>
    <t>DISCRETIZAR SIN LOS OTROS GASTOS</t>
  </si>
  <si>
    <t>38. Se le pide colaborar en la decisión sobre avanzar o no en un proceso de inversión.</t>
  </si>
  <si>
    <t>Realice los cálculos que crea conveniente y a) justifique su respuesta con el análisis del VAN y</t>
  </si>
  <si>
    <t>de la TIR. Las tasas vigentes en el mercado para el monto de inversión a realizar y los plazos</t>
  </si>
  <si>
    <t>de financiamiento contemplados son del 10, 12, 14, 16, 18 y 20%</t>
  </si>
  <si>
    <t>Se le ofrece a un inversor potencial la posibilidad de adquirir una planta de tratamiento</t>
  </si>
  <si>
    <t>de residuos patológicos en funcionamiento. Usted, a partir de la aplicación de los indicadores</t>
  </si>
  <si>
    <t>VAN y TIR, deberá aconsejarlo sobre la conveniencia de avanzar o no con tal inversión,</t>
  </si>
  <si>
    <t>sabiendo que las tasas vigentes en el mercado para montos y plazos de financiación similares</t>
  </si>
  <si>
    <t>varían entre el 12 y el 18% anual. Se sabe que debería abonar $120.000 para su adquisición y</t>
  </si>
  <si>
    <t>que los ingresos y egresos periódicos en virtud de su operación serán los expuestos a</t>
  </si>
  <si>
    <t>continuación:</t>
  </si>
  <si>
    <t>AMORTIZACION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</si>
</sst>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00%"/>
    <numFmt numFmtId="166" formatCode="0.000"/>
    <numFmt numFmtId="167" formatCode="_-&quot;$&quot;\ * #,##0.0_-;\-&quot;$&quot;\ * #,##0.0_-;_-&quot;$&quot;\ * &quot;-&quot;??_-;_-@_-"/>
    <numFmt numFmtId="168" formatCode="0.0%"/>
    <numFmt numFmtId="169" formatCode="0.0000%"/>
    <numFmt numFmtId="170" formatCode="_-* #,##0.00000_-;\-* #,##0.00000_-;_-* &quot;-&quot;??_-;_-@_-"/>
    <numFmt numFmtId="171" formatCode="&quot;$&quot;\ #,##0.000;[Red]\-&quot;$&quot;\ #,##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8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10" fontId="0" fillId="0" borderId="1" xfId="0" applyNumberFormat="1" applyBorder="1"/>
    <xf numFmtId="0" fontId="2" fillId="0" borderId="1" xfId="0" applyFont="1" applyBorder="1"/>
    <xf numFmtId="44" fontId="0" fillId="0" borderId="1" xfId="1" applyFont="1" applyBorder="1"/>
    <xf numFmtId="44" fontId="0" fillId="0" borderId="0" xfId="1" applyFont="1"/>
    <xf numFmtId="44" fontId="0" fillId="5" borderId="1" xfId="1" applyFont="1" applyFill="1" applyBorder="1"/>
    <xf numFmtId="0" fontId="0" fillId="0" borderId="0" xfId="0" applyBorder="1"/>
    <xf numFmtId="164" fontId="0" fillId="3" borderId="1" xfId="1" applyNumberFormat="1" applyFont="1" applyFill="1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0" fontId="0" fillId="4" borderId="1" xfId="0" applyFill="1" applyBorder="1"/>
    <xf numFmtId="165" fontId="0" fillId="0" borderId="1" xfId="2" applyNumberFormat="1" applyFont="1" applyBorder="1"/>
    <xf numFmtId="0" fontId="0" fillId="0" borderId="0" xfId="0" applyBorder="1" applyAlignment="1">
      <alignment wrapText="1"/>
    </xf>
    <xf numFmtId="8" fontId="0" fillId="0" borderId="0" xfId="0" applyNumberFormat="1"/>
    <xf numFmtId="0" fontId="0" fillId="2" borderId="1" xfId="0" applyFill="1" applyBorder="1"/>
    <xf numFmtId="6" fontId="0" fillId="0" borderId="1" xfId="0" applyNumberFormat="1" applyBorder="1"/>
    <xf numFmtId="0" fontId="3" fillId="6" borderId="0" xfId="0" applyFont="1" applyFill="1"/>
    <xf numFmtId="0" fontId="2" fillId="0" borderId="3" xfId="0" applyFont="1" applyBorder="1"/>
    <xf numFmtId="0" fontId="3" fillId="0" borderId="0" xfId="0" applyFont="1" applyAlignment="1">
      <alignment horizontal="center" vertical="center" wrapText="1"/>
    </xf>
    <xf numFmtId="0" fontId="0" fillId="6" borderId="0" xfId="0" applyFill="1"/>
    <xf numFmtId="164" fontId="0" fillId="6" borderId="0" xfId="0" applyNumberFormat="1" applyFill="1"/>
    <xf numFmtId="0" fontId="2" fillId="3" borderId="0" xfId="0" applyFont="1" applyFill="1" applyBorder="1"/>
    <xf numFmtId="164" fontId="0" fillId="0" borderId="0" xfId="1" applyNumberFormat="1" applyFont="1" applyBorder="1"/>
    <xf numFmtId="0" fontId="0" fillId="0" borderId="0" xfId="0" applyBorder="1" applyAlignment="1">
      <alignment vertical="top" wrapText="1"/>
    </xf>
    <xf numFmtId="164" fontId="0" fillId="0" borderId="1" xfId="0" applyNumberFormat="1" applyBorder="1"/>
    <xf numFmtId="0" fontId="5" fillId="2" borderId="1" xfId="0" applyFont="1" applyFill="1" applyBorder="1" applyAlignment="1">
      <alignment horizontal="center"/>
    </xf>
    <xf numFmtId="44" fontId="4" fillId="2" borderId="1" xfId="1" applyNumberFormat="1" applyFont="1" applyFill="1" applyBorder="1"/>
    <xf numFmtId="9" fontId="0" fillId="0" borderId="0" xfId="0" applyNumberFormat="1" applyBorder="1"/>
    <xf numFmtId="164" fontId="0" fillId="0" borderId="0" xfId="0" applyNumberFormat="1" applyFill="1" applyBorder="1"/>
    <xf numFmtId="0" fontId="0" fillId="0" borderId="0" xfId="0" applyAlignment="1"/>
    <xf numFmtId="6" fontId="4" fillId="0" borderId="1" xfId="0" applyNumberFormat="1" applyFont="1" applyBorder="1"/>
    <xf numFmtId="164" fontId="2" fillId="3" borderId="1" xfId="1" applyNumberFormat="1" applyFont="1" applyFill="1" applyBorder="1"/>
    <xf numFmtId="164" fontId="2" fillId="0" borderId="1" xfId="1" applyNumberFormat="1" applyFont="1" applyBorder="1"/>
    <xf numFmtId="0" fontId="0" fillId="0" borderId="1" xfId="0" applyBorder="1" applyAlignment="1"/>
    <xf numFmtId="44" fontId="0" fillId="0" borderId="1" xfId="0" applyNumberFormat="1" applyBorder="1" applyAlignment="1"/>
    <xf numFmtId="0" fontId="3" fillId="0" borderId="1" xfId="0" applyFont="1" applyBorder="1"/>
    <xf numFmtId="0" fontId="0" fillId="0" borderId="0" xfId="0" applyFill="1" applyBorder="1" applyAlignment="1"/>
    <xf numFmtId="0" fontId="2" fillId="0" borderId="0" xfId="0" applyFont="1" applyBorder="1"/>
    <xf numFmtId="164" fontId="2" fillId="0" borderId="0" xfId="1" applyNumberFormat="1" applyFont="1" applyBorder="1"/>
    <xf numFmtId="164" fontId="1" fillId="0" borderId="0" xfId="1" applyNumberFormat="1" applyFont="1" applyBorder="1"/>
    <xf numFmtId="44" fontId="2" fillId="0" borderId="1" xfId="0" applyNumberFormat="1" applyFont="1" applyBorder="1"/>
    <xf numFmtId="0" fontId="0" fillId="0" borderId="1" xfId="0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/>
    <xf numFmtId="0" fontId="0" fillId="0" borderId="1" xfId="0" applyFill="1" applyBorder="1" applyAlignment="1"/>
    <xf numFmtId="6" fontId="0" fillId="0" borderId="1" xfId="0" applyNumberFormat="1" applyBorder="1" applyAlignment="1"/>
    <xf numFmtId="164" fontId="0" fillId="2" borderId="1" xfId="0" applyNumberFormat="1" applyFill="1" applyBorder="1"/>
    <xf numFmtId="164" fontId="0" fillId="3" borderId="1" xfId="0" applyNumberFormat="1" applyFill="1" applyBorder="1"/>
    <xf numFmtId="6" fontId="3" fillId="0" borderId="5" xfId="0" applyNumberFormat="1" applyFont="1" applyFill="1" applyBorder="1"/>
    <xf numFmtId="0" fontId="3" fillId="0" borderId="2" xfId="0" applyFont="1" applyFill="1" applyBorder="1"/>
    <xf numFmtId="9" fontId="0" fillId="0" borderId="1" xfId="2" applyNumberFormat="1" applyFont="1" applyBorder="1"/>
    <xf numFmtId="0" fontId="3" fillId="0" borderId="0" xfId="0" applyFont="1"/>
    <xf numFmtId="44" fontId="3" fillId="0" borderId="1" xfId="1" applyFont="1" applyBorder="1"/>
    <xf numFmtId="164" fontId="3" fillId="0" borderId="1" xfId="0" applyNumberFormat="1" applyFont="1" applyBorder="1"/>
    <xf numFmtId="164" fontId="3" fillId="0" borderId="1" xfId="1" applyNumberFormat="1" applyFont="1" applyBorder="1"/>
    <xf numFmtId="0" fontId="3" fillId="6" borderId="0" xfId="0" applyFont="1" applyFill="1" applyBorder="1"/>
    <xf numFmtId="6" fontId="0" fillId="0" borderId="0" xfId="0" applyNumberFormat="1"/>
    <xf numFmtId="0" fontId="0" fillId="0" borderId="2" xfId="0" applyBorder="1" applyAlignment="1"/>
    <xf numFmtId="44" fontId="0" fillId="2" borderId="1" xfId="1" applyFont="1" applyFill="1" applyBorder="1"/>
    <xf numFmtId="0" fontId="3" fillId="0" borderId="2" xfId="0" applyFont="1" applyBorder="1" applyAlignment="1">
      <alignment horizontal="center"/>
    </xf>
    <xf numFmtId="44" fontId="0" fillId="2" borderId="1" xfId="0" applyNumberFormat="1" applyFill="1" applyBorder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 wrapText="1"/>
    </xf>
    <xf numFmtId="0" fontId="0" fillId="9" borderId="0" xfId="0" applyFill="1"/>
    <xf numFmtId="9" fontId="0" fillId="9" borderId="0" xfId="0" applyNumberFormat="1" applyFill="1"/>
    <xf numFmtId="0" fontId="0" fillId="9" borderId="1" xfId="0" applyFill="1" applyBorder="1" applyAlignment="1">
      <alignment horizontal="center" vertical="center"/>
    </xf>
    <xf numFmtId="44" fontId="0" fillId="10" borderId="1" xfId="1" applyFont="1" applyFill="1" applyBorder="1"/>
    <xf numFmtId="0" fontId="3" fillId="0" borderId="0" xfId="0" applyFont="1" applyBorder="1"/>
    <xf numFmtId="0" fontId="0" fillId="10" borderId="0" xfId="0" applyFill="1"/>
    <xf numFmtId="44" fontId="3" fillId="11" borderId="0" xfId="0" applyNumberFormat="1" applyFont="1" applyFill="1"/>
    <xf numFmtId="0" fontId="3" fillId="11" borderId="0" xfId="0" applyFont="1" applyFill="1" applyAlignment="1"/>
    <xf numFmtId="0" fontId="0" fillId="11" borderId="0" xfId="0" applyFill="1"/>
    <xf numFmtId="0" fontId="3" fillId="12" borderId="0" xfId="0" applyFont="1" applyFill="1"/>
    <xf numFmtId="0" fontId="0" fillId="5" borderId="0" xfId="0" applyFill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0" fillId="0" borderId="1" xfId="0" applyFill="1" applyBorder="1"/>
    <xf numFmtId="44" fontId="0" fillId="0" borderId="1" xfId="1" applyFont="1" applyFill="1" applyBorder="1"/>
    <xf numFmtId="44" fontId="0" fillId="9" borderId="0" xfId="0" applyNumberFormat="1" applyFill="1"/>
    <xf numFmtId="44" fontId="0" fillId="5" borderId="0" xfId="0" applyNumberFormat="1" applyFill="1"/>
    <xf numFmtId="44" fontId="0" fillId="10" borderId="1" xfId="0" applyNumberFormat="1" applyFill="1" applyBorder="1"/>
    <xf numFmtId="44" fontId="0" fillId="14" borderId="1" xfId="1" applyFont="1" applyFill="1" applyBorder="1"/>
    <xf numFmtId="0" fontId="0" fillId="15" borderId="1" xfId="0" applyFill="1" applyBorder="1"/>
    <xf numFmtId="44" fontId="0" fillId="15" borderId="1" xfId="1" applyFont="1" applyFill="1" applyBorder="1"/>
    <xf numFmtId="44" fontId="0" fillId="11" borderId="0" xfId="0" applyNumberFormat="1" applyFill="1"/>
    <xf numFmtId="0" fontId="3" fillId="2" borderId="1" xfId="0" applyFont="1" applyFill="1" applyBorder="1" applyAlignment="1"/>
    <xf numFmtId="0" fontId="3" fillId="2" borderId="1" xfId="0" applyFont="1" applyFill="1" applyBorder="1"/>
    <xf numFmtId="0" fontId="5" fillId="6" borderId="0" xfId="0" applyFont="1" applyFill="1"/>
    <xf numFmtId="44" fontId="3" fillId="2" borderId="1" xfId="1" applyFont="1" applyFill="1" applyBorder="1"/>
    <xf numFmtId="164" fontId="3" fillId="2" borderId="1" xfId="0" applyNumberFormat="1" applyFont="1" applyFill="1" applyBorder="1"/>
    <xf numFmtId="10" fontId="3" fillId="0" borderId="1" xfId="0" applyNumberFormat="1" applyFont="1" applyBorder="1"/>
    <xf numFmtId="0" fontId="6" fillId="12" borderId="6" xfId="0" applyFont="1" applyFill="1" applyBorder="1"/>
    <xf numFmtId="9" fontId="0" fillId="5" borderId="0" xfId="0" applyNumberFormat="1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9" fontId="2" fillId="5" borderId="0" xfId="0" applyNumberFormat="1" applyFont="1" applyFill="1" applyAlignment="1">
      <alignment horizontal="left"/>
    </xf>
    <xf numFmtId="44" fontId="0" fillId="9" borderId="0" xfId="1" applyFont="1" applyFill="1"/>
    <xf numFmtId="167" fontId="0" fillId="5" borderId="1" xfId="1" applyNumberFormat="1" applyFont="1" applyFill="1" applyBorder="1"/>
    <xf numFmtId="0" fontId="0" fillId="0" borderId="0" xfId="0" applyFill="1" applyBorder="1"/>
    <xf numFmtId="44" fontId="0" fillId="0" borderId="0" xfId="1" applyFont="1" applyFill="1" applyBorder="1"/>
    <xf numFmtId="164" fontId="0" fillId="2" borderId="1" xfId="1" applyNumberFormat="1" applyFont="1" applyFill="1" applyBorder="1"/>
    <xf numFmtId="0" fontId="0" fillId="13" borderId="0" xfId="0" applyFill="1"/>
    <xf numFmtId="0" fontId="3" fillId="2" borderId="6" xfId="0" applyFont="1" applyFill="1" applyBorder="1"/>
    <xf numFmtId="9" fontId="0" fillId="0" borderId="0" xfId="0" applyNumberFormat="1"/>
    <xf numFmtId="10" fontId="0" fillId="0" borderId="0" xfId="0" applyNumberFormat="1"/>
    <xf numFmtId="168" fontId="0" fillId="5" borderId="0" xfId="0" applyNumberFormat="1" applyFill="1"/>
    <xf numFmtId="10" fontId="0" fillId="5" borderId="0" xfId="0" applyNumberFormat="1" applyFill="1"/>
    <xf numFmtId="0" fontId="0" fillId="16" borderId="0" xfId="0" applyFill="1"/>
    <xf numFmtId="0" fontId="3" fillId="12" borderId="6" xfId="0" applyFont="1" applyFill="1" applyBorder="1"/>
    <xf numFmtId="0" fontId="3" fillId="2" borderId="8" xfId="0" applyFont="1" applyFill="1" applyBorder="1" applyAlignment="1"/>
    <xf numFmtId="0" fontId="3" fillId="2" borderId="8" xfId="0" applyFont="1" applyFill="1" applyBorder="1"/>
    <xf numFmtId="0" fontId="0" fillId="5" borderId="1" xfId="0" applyFill="1" applyBorder="1"/>
    <xf numFmtId="44" fontId="0" fillId="0" borderId="0" xfId="0" applyNumberFormat="1"/>
    <xf numFmtId="0" fontId="0" fillId="5" borderId="0" xfId="0" applyFill="1" applyAlignment="1">
      <alignment horizontal="center" vertical="top"/>
    </xf>
    <xf numFmtId="10" fontId="0" fillId="5" borderId="0" xfId="0" applyNumberFormat="1" applyFill="1" applyAlignment="1">
      <alignment horizontal="center" vertical="top"/>
    </xf>
    <xf numFmtId="0" fontId="0" fillId="0" borderId="0" xfId="0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0" fillId="0" borderId="1" xfId="3" applyNumberFormat="1" applyFont="1" applyFill="1" applyBorder="1"/>
    <xf numFmtId="44" fontId="0" fillId="0" borderId="1" xfId="0" applyNumberFormat="1" applyBorder="1"/>
    <xf numFmtId="0" fontId="3" fillId="2" borderId="3" xfId="0" applyFont="1" applyFill="1" applyBorder="1"/>
    <xf numFmtId="44" fontId="0" fillId="0" borderId="3" xfId="1" applyFont="1" applyBorder="1"/>
    <xf numFmtId="169" fontId="3" fillId="2" borderId="0" xfId="0" applyNumberFormat="1" applyFont="1" applyFill="1"/>
    <xf numFmtId="0" fontId="3" fillId="5" borderId="0" xfId="0" applyFont="1" applyFill="1"/>
    <xf numFmtId="0" fontId="7" fillId="5" borderId="0" xfId="0" applyFont="1" applyFill="1"/>
    <xf numFmtId="0" fontId="3" fillId="5" borderId="6" xfId="0" applyFont="1" applyFill="1" applyBorder="1"/>
    <xf numFmtId="44" fontId="0" fillId="0" borderId="6" xfId="0" applyNumberFormat="1" applyFill="1" applyBorder="1"/>
    <xf numFmtId="44" fontId="0" fillId="2" borderId="0" xfId="0" applyNumberFormat="1" applyFill="1"/>
    <xf numFmtId="6" fontId="0" fillId="2" borderId="0" xfId="0" applyNumberFormat="1" applyFill="1"/>
    <xf numFmtId="6" fontId="2" fillId="0" borderId="0" xfId="0" applyNumberFormat="1" applyFont="1"/>
    <xf numFmtId="44" fontId="2" fillId="0" borderId="0" xfId="0" applyNumberFormat="1" applyFont="1"/>
    <xf numFmtId="8" fontId="2" fillId="0" borderId="0" xfId="0" applyNumberFormat="1" applyFont="1"/>
    <xf numFmtId="164" fontId="2" fillId="0" borderId="0" xfId="0" applyNumberFormat="1" applyFont="1"/>
    <xf numFmtId="168" fontId="0" fillId="9" borderId="0" xfId="0" applyNumberFormat="1" applyFill="1"/>
    <xf numFmtId="44" fontId="0" fillId="0" borderId="1" xfId="1" applyNumberFormat="1" applyFont="1" applyFill="1" applyBorder="1"/>
    <xf numFmtId="164" fontId="0" fillId="5" borderId="1" xfId="1" applyNumberFormat="1" applyFont="1" applyFill="1" applyBorder="1"/>
    <xf numFmtId="164" fontId="0" fillId="5" borderId="1" xfId="0" applyNumberFormat="1" applyFill="1" applyBorder="1"/>
    <xf numFmtId="0" fontId="0" fillId="9" borderId="0" xfId="0" applyFill="1" applyAlignment="1">
      <alignment horizontal="center"/>
    </xf>
    <xf numFmtId="168" fontId="0" fillId="9" borderId="0" xfId="0" applyNumberFormat="1" applyFill="1" applyAlignment="1">
      <alignment horizontal="left"/>
    </xf>
    <xf numFmtId="44" fontId="0" fillId="5" borderId="1" xfId="0" applyNumberFormat="1" applyFill="1" applyBorder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0" fillId="12" borderId="0" xfId="0" applyFill="1"/>
    <xf numFmtId="2" fontId="0" fillId="0" borderId="1" xfId="0" applyNumberFormat="1" applyBorder="1"/>
    <xf numFmtId="0" fontId="0" fillId="12" borderId="1" xfId="0" applyFill="1" applyBorder="1"/>
    <xf numFmtId="166" fontId="0" fillId="12" borderId="1" xfId="0" applyNumberFormat="1" applyFill="1" applyBorder="1"/>
    <xf numFmtId="0" fontId="10" fillId="0" borderId="0" xfId="0" applyFont="1" applyAlignment="1"/>
    <xf numFmtId="9" fontId="0" fillId="2" borderId="1" xfId="0" applyNumberFormat="1" applyFill="1" applyBorder="1"/>
    <xf numFmtId="0" fontId="7" fillId="0" borderId="0" xfId="0" applyFont="1"/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9" fontId="0" fillId="5" borderId="1" xfId="0" applyNumberFormat="1" applyFill="1" applyBorder="1"/>
    <xf numFmtId="0" fontId="4" fillId="11" borderId="0" xfId="0" applyFont="1" applyFill="1"/>
    <xf numFmtId="0" fontId="6" fillId="11" borderId="0" xfId="0" applyFont="1" applyFill="1"/>
    <xf numFmtId="0" fontId="0" fillId="0" borderId="12" xfId="0" applyBorder="1"/>
    <xf numFmtId="0" fontId="12" fillId="0" borderId="13" xfId="0" applyFont="1" applyFill="1" applyBorder="1"/>
    <xf numFmtId="0" fontId="12" fillId="0" borderId="14" xfId="0" applyFont="1" applyFill="1" applyBorder="1"/>
    <xf numFmtId="0" fontId="0" fillId="0" borderId="14" xfId="0" applyBorder="1"/>
    <xf numFmtId="0" fontId="0" fillId="0" borderId="15" xfId="0" applyBorder="1"/>
    <xf numFmtId="0" fontId="11" fillId="0" borderId="16" xfId="0" applyFont="1" applyFill="1" applyBorder="1" applyAlignment="1">
      <alignment vertical="center"/>
    </xf>
    <xf numFmtId="0" fontId="11" fillId="0" borderId="17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0" fillId="0" borderId="18" xfId="0" applyBorder="1"/>
    <xf numFmtId="0" fontId="2" fillId="2" borderId="1" xfId="0" applyFont="1" applyFill="1" applyBorder="1"/>
    <xf numFmtId="44" fontId="0" fillId="0" borderId="18" xfId="0" applyNumberFormat="1" applyBorder="1"/>
    <xf numFmtId="44" fontId="0" fillId="0" borderId="18" xfId="1" applyFont="1" applyBorder="1"/>
    <xf numFmtId="0" fontId="0" fillId="0" borderId="8" xfId="0" applyBorder="1"/>
    <xf numFmtId="44" fontId="0" fillId="0" borderId="6" xfId="0" applyNumberFormat="1" applyBorder="1"/>
    <xf numFmtId="0" fontId="0" fillId="17" borderId="9" xfId="0" applyFill="1" applyBorder="1"/>
    <xf numFmtId="9" fontId="0" fillId="17" borderId="10" xfId="0" applyNumberFormat="1" applyFill="1" applyBorder="1"/>
    <xf numFmtId="164" fontId="13" fillId="3" borderId="11" xfId="1" applyNumberFormat="1" applyFont="1" applyFill="1" applyBorder="1"/>
    <xf numFmtId="0" fontId="0" fillId="0" borderId="0" xfId="0" applyAlignment="1">
      <alignment horizontal="left" vertical="top"/>
    </xf>
    <xf numFmtId="0" fontId="0" fillId="2" borderId="21" xfId="0" applyFill="1" applyBorder="1"/>
    <xf numFmtId="0" fontId="0" fillId="2" borderId="13" xfId="0" applyFill="1" applyBorder="1"/>
    <xf numFmtId="0" fontId="0" fillId="18" borderId="1" xfId="0" applyFill="1" applyBorder="1" applyAlignment="1">
      <alignment vertical="top" wrapText="1"/>
    </xf>
    <xf numFmtId="44" fontId="0" fillId="18" borderId="1" xfId="1" applyFont="1" applyFill="1" applyBorder="1"/>
    <xf numFmtId="0" fontId="0" fillId="18" borderId="1" xfId="0" applyFill="1" applyBorder="1"/>
    <xf numFmtId="9" fontId="0" fillId="18" borderId="1" xfId="0" applyNumberFormat="1" applyFill="1" applyBorder="1"/>
    <xf numFmtId="0" fontId="0" fillId="9" borderId="0" xfId="0" applyFill="1" applyAlignment="1"/>
    <xf numFmtId="9" fontId="0" fillId="9" borderId="0" xfId="0" applyNumberFormat="1" applyFill="1" applyAlignment="1"/>
    <xf numFmtId="44" fontId="0" fillId="9" borderId="1" xfId="1" applyFont="1" applyFill="1" applyBorder="1"/>
    <xf numFmtId="0" fontId="0" fillId="9" borderId="1" xfId="0" applyFill="1" applyBorder="1"/>
    <xf numFmtId="9" fontId="0" fillId="9" borderId="1" xfId="0" applyNumberFormat="1" applyFill="1" applyBorder="1"/>
    <xf numFmtId="0" fontId="2" fillId="6" borderId="0" xfId="0" applyFont="1" applyFill="1" applyAlignment="1"/>
    <xf numFmtId="0" fontId="0" fillId="6" borderId="20" xfId="0" applyFill="1" applyBorder="1" applyAlignment="1">
      <alignment wrapText="1"/>
    </xf>
    <xf numFmtId="0" fontId="0" fillId="6" borderId="21" xfId="0" applyFill="1" applyBorder="1"/>
    <xf numFmtId="0" fontId="0" fillId="6" borderId="13" xfId="0" applyFill="1" applyBorder="1"/>
    <xf numFmtId="0" fontId="0" fillId="6" borderId="15" xfId="0" applyFill="1" applyBorder="1"/>
    <xf numFmtId="0" fontId="3" fillId="7" borderId="1" xfId="0" applyFont="1" applyFill="1" applyBorder="1"/>
    <xf numFmtId="0" fontId="2" fillId="11" borderId="1" xfId="0" applyFont="1" applyFill="1" applyBorder="1" applyAlignment="1"/>
    <xf numFmtId="9" fontId="2" fillId="11" borderId="1" xfId="0" applyNumberFormat="1" applyFont="1" applyFill="1" applyBorder="1" applyAlignment="1"/>
    <xf numFmtId="0" fontId="2" fillId="11" borderId="1" xfId="0" applyFont="1" applyFill="1" applyBorder="1"/>
    <xf numFmtId="44" fontId="2" fillId="11" borderId="1" xfId="1" applyFont="1" applyFill="1" applyBorder="1"/>
    <xf numFmtId="164" fontId="13" fillId="0" borderId="1" xfId="1" applyNumberFormat="1" applyFont="1" applyBorder="1"/>
    <xf numFmtId="44" fontId="0" fillId="0" borderId="1" xfId="0" applyNumberFormat="1" applyFont="1" applyBorder="1"/>
    <xf numFmtId="9" fontId="3" fillId="0" borderId="0" xfId="0" applyNumberFormat="1" applyFont="1" applyBorder="1" applyAlignment="1">
      <alignment horizontal="center"/>
    </xf>
    <xf numFmtId="9" fontId="0" fillId="0" borderId="1" xfId="0" applyNumberFormat="1" applyFill="1" applyBorder="1"/>
    <xf numFmtId="0" fontId="2" fillId="12" borderId="1" xfId="0" applyFont="1" applyFill="1" applyBorder="1"/>
    <xf numFmtId="164" fontId="2" fillId="12" borderId="1" xfId="0" applyNumberFormat="1" applyFont="1" applyFill="1" applyBorder="1"/>
    <xf numFmtId="0" fontId="0" fillId="6" borderId="22" xfId="0" applyFill="1" applyBorder="1" applyAlignment="1">
      <alignment horizontal="center" wrapText="1"/>
    </xf>
    <xf numFmtId="0" fontId="0" fillId="6" borderId="23" xfId="0" applyFill="1" applyBorder="1" applyAlignment="1">
      <alignment horizontal="center" wrapText="1"/>
    </xf>
    <xf numFmtId="0" fontId="0" fillId="6" borderId="25" xfId="0" applyFill="1" applyBorder="1"/>
    <xf numFmtId="0" fontId="0" fillId="6" borderId="27" xfId="0" applyFill="1" applyBorder="1"/>
    <xf numFmtId="0" fontId="17" fillId="0" borderId="0" xfId="0" applyFont="1"/>
    <xf numFmtId="0" fontId="18" fillId="0" borderId="0" xfId="0" applyFont="1"/>
    <xf numFmtId="165" fontId="0" fillId="5" borderId="3" xfId="2" applyNumberFormat="1" applyFont="1" applyFill="1" applyBorder="1"/>
    <xf numFmtId="6" fontId="0" fillId="5" borderId="3" xfId="0" applyNumberFormat="1" applyFill="1" applyBorder="1"/>
    <xf numFmtId="8" fontId="4" fillId="0" borderId="1" xfId="0" applyNumberFormat="1" applyFont="1" applyBorder="1"/>
    <xf numFmtId="10" fontId="2" fillId="0" borderId="3" xfId="2" applyNumberFormat="1" applyFont="1" applyFill="1" applyBorder="1"/>
    <xf numFmtId="6" fontId="5" fillId="0" borderId="3" xfId="0" applyNumberFormat="1" applyFont="1" applyFill="1" applyBorder="1"/>
    <xf numFmtId="9" fontId="2" fillId="0" borderId="1" xfId="0" applyNumberFormat="1" applyFont="1" applyFill="1" applyBorder="1"/>
    <xf numFmtId="0" fontId="0" fillId="2" borderId="1" xfId="0" applyFill="1" applyBorder="1" applyAlignment="1"/>
    <xf numFmtId="0" fontId="3" fillId="11" borderId="1" xfId="0" applyFont="1" applyFill="1" applyBorder="1"/>
    <xf numFmtId="44" fontId="3" fillId="11" borderId="1" xfId="1" applyFont="1" applyFill="1" applyBorder="1"/>
    <xf numFmtId="9" fontId="3" fillId="11" borderId="1" xfId="0" applyNumberFormat="1" applyFont="1" applyFill="1" applyBorder="1"/>
    <xf numFmtId="9" fontId="0" fillId="0" borderId="3" xfId="2" applyNumberFormat="1" applyFont="1" applyBorder="1"/>
    <xf numFmtId="9" fontId="0" fillId="0" borderId="3" xfId="0" applyNumberFormat="1" applyBorder="1"/>
    <xf numFmtId="0" fontId="0" fillId="6" borderId="28" xfId="0" applyFill="1" applyBorder="1" applyAlignment="1">
      <alignment wrapText="1"/>
    </xf>
    <xf numFmtId="0" fontId="0" fillId="6" borderId="29" xfId="0" applyFill="1" applyBorder="1"/>
    <xf numFmtId="8" fontId="4" fillId="0" borderId="3" xfId="0" applyNumberFormat="1" applyFont="1" applyBorder="1"/>
    <xf numFmtId="2" fontId="0" fillId="0" borderId="3" xfId="0" applyNumberFormat="1" applyBorder="1"/>
    <xf numFmtId="0" fontId="0" fillId="2" borderId="3" xfId="0" applyFill="1" applyBorder="1"/>
    <xf numFmtId="0" fontId="3" fillId="2" borderId="30" xfId="0" applyFont="1" applyFill="1" applyBorder="1" applyAlignment="1">
      <alignment horizontal="center"/>
    </xf>
    <xf numFmtId="170" fontId="0" fillId="2" borderId="29" xfId="3" applyNumberFormat="1" applyFont="1" applyFill="1" applyBorder="1"/>
    <xf numFmtId="0" fontId="3" fillId="8" borderId="0" xfId="0" applyFont="1" applyFill="1"/>
    <xf numFmtId="0" fontId="2" fillId="16" borderId="0" xfId="0" applyFont="1" applyFill="1"/>
    <xf numFmtId="44" fontId="16" fillId="0" borderId="1" xfId="1" applyFont="1" applyBorder="1"/>
    <xf numFmtId="0" fontId="14" fillId="0" borderId="0" xfId="0" applyFont="1"/>
    <xf numFmtId="44" fontId="3" fillId="7" borderId="1" xfId="1" applyFont="1" applyFill="1" applyBorder="1"/>
    <xf numFmtId="9" fontId="3" fillId="7" borderId="1" xfId="0" applyNumberFormat="1" applyFont="1" applyFill="1" applyBorder="1"/>
    <xf numFmtId="0" fontId="3" fillId="0" borderId="0" xfId="0" applyFont="1" applyBorder="1" applyAlignment="1">
      <alignment horizontal="center"/>
    </xf>
    <xf numFmtId="0" fontId="0" fillId="0" borderId="24" xfId="0" applyFill="1" applyBorder="1" applyAlignment="1">
      <alignment horizontal="center" wrapText="1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9" fontId="2" fillId="0" borderId="3" xfId="2" applyNumberFormat="1" applyFont="1" applyBorder="1"/>
    <xf numFmtId="6" fontId="5" fillId="0" borderId="3" xfId="0" applyNumberFormat="1" applyFont="1" applyBorder="1"/>
    <xf numFmtId="0" fontId="0" fillId="16" borderId="19" xfId="0" applyFill="1" applyBorder="1"/>
    <xf numFmtId="0" fontId="0" fillId="11" borderId="1" xfId="0" applyFill="1" applyBorder="1"/>
    <xf numFmtId="0" fontId="0" fillId="0" borderId="0" xfId="0" applyFill="1"/>
    <xf numFmtId="0" fontId="0" fillId="0" borderId="24" xfId="0" applyFill="1" applyBorder="1" applyAlignment="1">
      <alignment wrapText="1"/>
    </xf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10" fontId="0" fillId="0" borderId="3" xfId="2" applyNumberFormat="1" applyFont="1" applyBorder="1"/>
    <xf numFmtId="0" fontId="2" fillId="11" borderId="0" xfId="0" applyFont="1" applyFill="1"/>
    <xf numFmtId="0" fontId="2" fillId="9" borderId="16" xfId="0" applyFont="1" applyFill="1" applyBorder="1"/>
    <xf numFmtId="0" fontId="2" fillId="9" borderId="17" xfId="0" applyFont="1" applyFill="1" applyBorder="1"/>
    <xf numFmtId="0" fontId="2" fillId="9" borderId="17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left"/>
    </xf>
    <xf numFmtId="0" fontId="2" fillId="9" borderId="20" xfId="0" applyFont="1" applyFill="1" applyBorder="1"/>
    <xf numFmtId="0" fontId="2" fillId="9" borderId="0" xfId="0" applyFont="1" applyFill="1" applyBorder="1" applyAlignment="1">
      <alignment horizontal="left"/>
    </xf>
    <xf numFmtId="0" fontId="2" fillId="9" borderId="0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left"/>
    </xf>
    <xf numFmtId="0" fontId="0" fillId="9" borderId="13" xfId="0" applyFill="1" applyBorder="1"/>
    <xf numFmtId="0" fontId="0" fillId="9" borderId="14" xfId="0" applyFill="1" applyBorder="1"/>
    <xf numFmtId="0" fontId="2" fillId="9" borderId="14" xfId="0" applyFont="1" applyFill="1" applyBorder="1" applyAlignment="1">
      <alignment horizontal="center"/>
    </xf>
    <xf numFmtId="9" fontId="2" fillId="9" borderId="15" xfId="0" applyNumberFormat="1" applyFont="1" applyFill="1" applyBorder="1" applyAlignment="1">
      <alignment horizontal="left"/>
    </xf>
    <xf numFmtId="0" fontId="2" fillId="12" borderId="0" xfId="0" applyFont="1" applyFill="1"/>
    <xf numFmtId="44" fontId="2" fillId="10" borderId="1" xfId="0" applyNumberFormat="1" applyFont="1" applyFill="1" applyBorder="1"/>
    <xf numFmtId="44" fontId="2" fillId="10" borderId="1" xfId="1" applyFont="1" applyFill="1" applyBorder="1"/>
    <xf numFmtId="0" fontId="17" fillId="0" borderId="0" xfId="0" applyFont="1" applyFill="1"/>
    <xf numFmtId="0" fontId="2" fillId="9" borderId="12" xfId="0" applyFont="1" applyFill="1" applyBorder="1"/>
    <xf numFmtId="0" fontId="2" fillId="9" borderId="13" xfId="0" applyFont="1" applyFill="1" applyBorder="1"/>
    <xf numFmtId="0" fontId="2" fillId="9" borderId="15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9" fontId="2" fillId="0" borderId="0" xfId="0" applyNumberFormat="1" applyFont="1" applyFill="1" applyBorder="1" applyAlignment="1">
      <alignment horizontal="left"/>
    </xf>
    <xf numFmtId="44" fontId="0" fillId="11" borderId="1" xfId="1" applyFont="1" applyFill="1" applyBorder="1"/>
    <xf numFmtId="0" fontId="3" fillId="0" borderId="0" xfId="0" applyFont="1" applyFill="1" applyAlignment="1"/>
    <xf numFmtId="0" fontId="3" fillId="2" borderId="16" xfId="0" applyFont="1" applyFill="1" applyBorder="1"/>
    <xf numFmtId="0" fontId="0" fillId="2" borderId="20" xfId="0" applyFill="1" applyBorder="1"/>
    <xf numFmtId="10" fontId="0" fillId="2" borderId="21" xfId="0" applyNumberFormat="1" applyFill="1" applyBorder="1"/>
    <xf numFmtId="44" fontId="0" fillId="2" borderId="12" xfId="1" applyFont="1" applyFill="1" applyBorder="1"/>
    <xf numFmtId="44" fontId="0" fillId="2" borderId="21" xfId="1" applyFont="1" applyFill="1" applyBorder="1"/>
    <xf numFmtId="44" fontId="0" fillId="2" borderId="15" xfId="1" applyFont="1" applyFill="1" applyBorder="1"/>
    <xf numFmtId="171" fontId="4" fillId="0" borderId="1" xfId="0" applyNumberFormat="1" applyFont="1" applyBorder="1"/>
    <xf numFmtId="44" fontId="3" fillId="0" borderId="1" xfId="1" applyFont="1" applyFill="1" applyBorder="1" applyAlignment="1">
      <alignment horizontal="right"/>
    </xf>
    <xf numFmtId="167" fontId="0" fillId="0" borderId="1" xfId="1" applyNumberFormat="1" applyFont="1" applyFill="1" applyBorder="1"/>
    <xf numFmtId="0" fontId="3" fillId="12" borderId="0" xfId="0" applyFont="1" applyFill="1" applyAlignment="1">
      <alignment horizontal="center" wrapText="1"/>
    </xf>
    <xf numFmtId="169" fontId="3" fillId="12" borderId="0" xfId="0" applyNumberFormat="1" applyFont="1" applyFill="1"/>
    <xf numFmtId="0" fontId="2" fillId="11" borderId="0" xfId="0" applyFont="1" applyFill="1" applyAlignment="1"/>
    <xf numFmtId="0" fontId="15" fillId="0" borderId="0" xfId="0" applyFont="1" applyAlignment="1">
      <alignment horizontal="left" vertical="top" wrapText="1"/>
    </xf>
    <xf numFmtId="9" fontId="3" fillId="0" borderId="32" xfId="0" applyNumberFormat="1" applyFont="1" applyBorder="1" applyAlignment="1">
      <alignment horizontal="center"/>
    </xf>
    <xf numFmtId="0" fontId="2" fillId="6" borderId="3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19" fillId="12" borderId="0" xfId="0" applyFont="1" applyFill="1" applyAlignment="1">
      <alignment horizontal="center"/>
    </xf>
    <xf numFmtId="0" fontId="2" fillId="19" borderId="31" xfId="0" applyFont="1" applyFill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6" xfId="0" applyFill="1" applyBorder="1" applyAlignment="1">
      <alignment horizontal="center" wrapText="1"/>
    </xf>
    <xf numFmtId="0" fontId="0" fillId="6" borderId="12" xfId="0" applyFill="1" applyBorder="1" applyAlignment="1">
      <alignment horizont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44" fontId="2" fillId="0" borderId="1" xfId="1" applyFont="1" applyFill="1" applyBorder="1"/>
    <xf numFmtId="0" fontId="2" fillId="0" borderId="1" xfId="0" applyFont="1" applyFill="1" applyBorder="1"/>
    <xf numFmtId="44" fontId="2" fillId="0" borderId="1" xfId="0" applyNumberFormat="1" applyFont="1" applyFill="1" applyBorder="1"/>
    <xf numFmtId="0" fontId="0" fillId="0" borderId="0" xfId="0" applyFill="1" applyBorder="1" applyAlignment="1">
      <alignment vertical="center"/>
    </xf>
    <xf numFmtId="9" fontId="0" fillId="0" borderId="0" xfId="0" applyNumberFormat="1" applyFill="1" applyBorder="1"/>
    <xf numFmtId="0" fontId="3" fillId="0" borderId="0" xfId="0" applyFont="1" applyFill="1" applyBorder="1"/>
    <xf numFmtId="10" fontId="0" fillId="0" borderId="0" xfId="0" applyNumberFormat="1" applyFill="1"/>
    <xf numFmtId="44" fontId="0" fillId="0" borderId="0" xfId="0" applyNumberFormat="1" applyFill="1"/>
    <xf numFmtId="9" fontId="0" fillId="0" borderId="0" xfId="0" applyNumberFormat="1" applyFill="1"/>
    <xf numFmtId="169" fontId="0" fillId="0" borderId="0" xfId="0" applyNumberFormat="1"/>
    <xf numFmtId="2" fontId="0" fillId="0" borderId="0" xfId="0" applyNumberFormat="1"/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6"/>
  <sheetViews>
    <sheetView topLeftCell="A190" zoomScale="80" zoomScaleNormal="80" workbookViewId="0">
      <selection activeCell="A211" sqref="A211:E213"/>
    </sheetView>
  </sheetViews>
  <sheetFormatPr baseColWidth="10" defaultRowHeight="15" x14ac:dyDescent="0.25"/>
  <cols>
    <col min="1" max="1" width="18" customWidth="1"/>
    <col min="2" max="2" width="18.42578125" customWidth="1"/>
    <col min="3" max="3" width="16.7109375" customWidth="1"/>
    <col min="4" max="4" width="18" customWidth="1"/>
    <col min="5" max="5" width="27.28515625" customWidth="1"/>
    <col min="6" max="6" width="18.28515625" customWidth="1"/>
    <col min="7" max="7" width="19.42578125" customWidth="1"/>
    <col min="8" max="8" width="15.42578125" customWidth="1"/>
  </cols>
  <sheetData>
    <row r="1" spans="1:10" x14ac:dyDescent="0.25">
      <c r="A1" s="1" t="s">
        <v>0</v>
      </c>
      <c r="B1" s="1" t="s">
        <v>21</v>
      </c>
    </row>
    <row r="2" spans="1:10" x14ac:dyDescent="0.25">
      <c r="B2" s="24" t="s">
        <v>6</v>
      </c>
      <c r="C2" s="24"/>
    </row>
    <row r="3" spans="1:10" x14ac:dyDescent="0.25">
      <c r="B3" s="6" t="s">
        <v>3</v>
      </c>
      <c r="C3" s="7">
        <v>900000</v>
      </c>
    </row>
    <row r="4" spans="1:10" x14ac:dyDescent="0.25">
      <c r="B4" s="6" t="s">
        <v>4</v>
      </c>
      <c r="C4" s="5">
        <v>6.25E-2</v>
      </c>
      <c r="D4" t="s">
        <v>126</v>
      </c>
    </row>
    <row r="5" spans="1:10" x14ac:dyDescent="0.25">
      <c r="B5" s="6" t="s">
        <v>5</v>
      </c>
      <c r="C5" s="2">
        <v>4</v>
      </c>
      <c r="D5" s="10"/>
      <c r="E5" s="10"/>
      <c r="F5" s="14" t="s">
        <v>11</v>
      </c>
      <c r="G5" s="10"/>
      <c r="H5" s="10"/>
    </row>
    <row r="6" spans="1:10" x14ac:dyDescent="0.25">
      <c r="F6" s="14" t="s">
        <v>12</v>
      </c>
      <c r="G6" s="20"/>
      <c r="H6" s="20"/>
    </row>
    <row r="7" spans="1:10" x14ac:dyDescent="0.25">
      <c r="B7" s="4" t="s">
        <v>10</v>
      </c>
      <c r="C7" s="4" t="s">
        <v>1</v>
      </c>
      <c r="D7" s="4" t="s">
        <v>2</v>
      </c>
      <c r="E7" s="25" t="s">
        <v>9</v>
      </c>
      <c r="F7" s="4" t="s">
        <v>7</v>
      </c>
      <c r="G7" s="20"/>
    </row>
    <row r="8" spans="1:10" x14ac:dyDescent="0.25">
      <c r="B8" s="3">
        <v>0</v>
      </c>
      <c r="C8" s="11">
        <v>0</v>
      </c>
      <c r="D8" s="11">
        <f>C3</f>
        <v>900000</v>
      </c>
      <c r="E8" s="12">
        <f>C8-D8</f>
        <v>-900000</v>
      </c>
      <c r="F8" s="13">
        <f>(E8/(1+$C$4)^B8)</f>
        <v>-900000</v>
      </c>
      <c r="G8" s="20"/>
    </row>
    <row r="9" spans="1:10" x14ac:dyDescent="0.25">
      <c r="B9" s="3">
        <v>1</v>
      </c>
      <c r="C9" s="11">
        <v>320000</v>
      </c>
      <c r="D9" s="11">
        <v>120000</v>
      </c>
      <c r="E9" s="12">
        <f t="shared" ref="E9:E12" si="0">C9-D9</f>
        <v>200000</v>
      </c>
      <c r="F9" s="13">
        <f t="shared" ref="F9:F12" si="1">(E9/(1+$C$4)^B9)</f>
        <v>188235.29411764705</v>
      </c>
      <c r="G9" s="10"/>
    </row>
    <row r="10" spans="1:10" x14ac:dyDescent="0.25">
      <c r="B10" s="3">
        <v>2</v>
      </c>
      <c r="C10" s="11">
        <v>500000</v>
      </c>
      <c r="D10" s="11">
        <v>300000</v>
      </c>
      <c r="E10" s="12">
        <f t="shared" si="0"/>
        <v>200000</v>
      </c>
      <c r="F10" s="13">
        <f t="shared" si="1"/>
        <v>177162.62975778547</v>
      </c>
    </row>
    <row r="11" spans="1:10" x14ac:dyDescent="0.25">
      <c r="B11" s="3">
        <v>3</v>
      </c>
      <c r="C11" s="11">
        <v>600000</v>
      </c>
      <c r="D11" s="11">
        <v>190000</v>
      </c>
      <c r="E11" s="12">
        <f t="shared" si="0"/>
        <v>410000</v>
      </c>
      <c r="F11" s="13">
        <f t="shared" si="1"/>
        <v>341819.66212090373</v>
      </c>
    </row>
    <row r="12" spans="1:10" x14ac:dyDescent="0.25">
      <c r="B12" s="3">
        <v>4</v>
      </c>
      <c r="C12" s="11">
        <v>600000</v>
      </c>
      <c r="D12" s="11">
        <v>100000</v>
      </c>
      <c r="E12" s="12">
        <f t="shared" si="0"/>
        <v>500000</v>
      </c>
      <c r="F12" s="13">
        <f t="shared" si="1"/>
        <v>392332.46728367714</v>
      </c>
    </row>
    <row r="13" spans="1:10" x14ac:dyDescent="0.25">
      <c r="C13" s="8"/>
      <c r="D13" s="8"/>
      <c r="E13" s="9" t="s">
        <v>8</v>
      </c>
      <c r="F13" s="146">
        <f>SUM(F8:F12)</f>
        <v>199550.05328001332</v>
      </c>
      <c r="J13" s="17"/>
    </row>
    <row r="14" spans="1:10" ht="15.75" thickBot="1" x14ac:dyDescent="0.3"/>
    <row r="15" spans="1:10" x14ac:dyDescent="0.25">
      <c r="A15" s="153" t="s">
        <v>167</v>
      </c>
      <c r="B15" s="154"/>
      <c r="C15" s="18" t="s">
        <v>13</v>
      </c>
      <c r="D15" s="218">
        <f>IRR(E8:E12)</f>
        <v>0.14096505812709936</v>
      </c>
      <c r="E15" s="303" t="s">
        <v>14</v>
      </c>
      <c r="F15" s="304"/>
    </row>
    <row r="16" spans="1:10" x14ac:dyDescent="0.25">
      <c r="E16" s="197" t="s">
        <v>15</v>
      </c>
      <c r="F16" s="198" t="s">
        <v>16</v>
      </c>
    </row>
    <row r="17" spans="1:10" ht="15.75" thickBot="1" x14ac:dyDescent="0.3">
      <c r="A17" s="152" t="s">
        <v>20</v>
      </c>
      <c r="B17" s="152"/>
      <c r="C17" s="22" t="s">
        <v>18</v>
      </c>
      <c r="D17" s="219">
        <f>NPV(C4,E9:E12)+E8</f>
        <v>199550.05328001338</v>
      </c>
      <c r="E17" s="199" t="s">
        <v>17</v>
      </c>
      <c r="F17" s="200" t="s">
        <v>16</v>
      </c>
    </row>
    <row r="18" spans="1:10" x14ac:dyDescent="0.25">
      <c r="B18" s="16"/>
      <c r="F18" s="21"/>
    </row>
    <row r="19" spans="1:10" x14ac:dyDescent="0.25">
      <c r="C19" s="26"/>
      <c r="D19" s="15"/>
    </row>
    <row r="23" spans="1:10" ht="15" customHeight="1" x14ac:dyDescent="0.25">
      <c r="G23" s="184"/>
      <c r="H23" s="184"/>
      <c r="I23" s="184"/>
      <c r="J23" s="184"/>
    </row>
    <row r="24" spans="1:10" x14ac:dyDescent="0.25">
      <c r="G24" s="184"/>
      <c r="H24" s="184"/>
      <c r="I24" s="184"/>
      <c r="J24" s="184"/>
    </row>
    <row r="25" spans="1:10" x14ac:dyDescent="0.25">
      <c r="G25" s="184"/>
      <c r="H25" s="184"/>
      <c r="I25" s="184"/>
      <c r="J25" s="184"/>
    </row>
    <row r="26" spans="1:10" x14ac:dyDescent="0.25">
      <c r="G26" s="184"/>
      <c r="H26" s="184"/>
      <c r="I26" s="184"/>
      <c r="J26" s="184"/>
    </row>
    <row r="27" spans="1:10" x14ac:dyDescent="0.25">
      <c r="G27" s="184"/>
      <c r="H27" s="184"/>
      <c r="I27" s="184"/>
      <c r="J27" s="184"/>
    </row>
    <row r="34" spans="1:8" x14ac:dyDescent="0.25">
      <c r="A34" s="81" t="s">
        <v>22</v>
      </c>
    </row>
    <row r="35" spans="1:8" x14ac:dyDescent="0.25">
      <c r="A35" t="s">
        <v>196</v>
      </c>
      <c r="F35" s="184"/>
    </row>
    <row r="36" spans="1:8" x14ac:dyDescent="0.25">
      <c r="A36" t="s">
        <v>197</v>
      </c>
      <c r="F36" s="184"/>
    </row>
    <row r="37" spans="1:8" x14ac:dyDescent="0.25">
      <c r="A37" t="s">
        <v>198</v>
      </c>
      <c r="F37" s="184"/>
    </row>
    <row r="38" spans="1:8" x14ac:dyDescent="0.25">
      <c r="A38" t="s">
        <v>199</v>
      </c>
      <c r="F38" s="184"/>
    </row>
    <row r="39" spans="1:8" x14ac:dyDescent="0.25">
      <c r="A39" s="184"/>
      <c r="B39" s="184"/>
      <c r="C39" s="184"/>
      <c r="D39" s="184"/>
      <c r="E39" s="184"/>
      <c r="F39" s="184"/>
    </row>
    <row r="40" spans="1:8" x14ac:dyDescent="0.25">
      <c r="G40" s="37"/>
      <c r="H40" s="37"/>
    </row>
    <row r="41" spans="1:8" x14ac:dyDescent="0.25">
      <c r="A41" t="s">
        <v>166</v>
      </c>
      <c r="G41" s="37"/>
      <c r="H41" s="37"/>
    </row>
    <row r="42" spans="1:8" x14ac:dyDescent="0.25">
      <c r="A42" s="187" t="s">
        <v>3</v>
      </c>
      <c r="B42" s="188">
        <v>-18000</v>
      </c>
    </row>
    <row r="43" spans="1:8" x14ac:dyDescent="0.25">
      <c r="A43" s="189" t="s">
        <v>23</v>
      </c>
      <c r="B43" s="190">
        <v>0.2</v>
      </c>
    </row>
    <row r="44" spans="1:8" x14ac:dyDescent="0.25">
      <c r="E44" s="31"/>
    </row>
    <row r="45" spans="1:8" x14ac:dyDescent="0.25">
      <c r="G45" s="37"/>
      <c r="H45" s="37"/>
    </row>
    <row r="46" spans="1:8" x14ac:dyDescent="0.25">
      <c r="A46" s="176" t="s">
        <v>10</v>
      </c>
      <c r="B46" s="176" t="s">
        <v>1</v>
      </c>
      <c r="C46" s="176" t="s">
        <v>2</v>
      </c>
      <c r="D46" s="176" t="s">
        <v>9</v>
      </c>
      <c r="E46" s="176" t="s">
        <v>24</v>
      </c>
      <c r="G46" s="37"/>
      <c r="H46" s="37"/>
    </row>
    <row r="47" spans="1:8" x14ac:dyDescent="0.25">
      <c r="A47" s="3">
        <v>0</v>
      </c>
      <c r="B47" s="11">
        <v>0</v>
      </c>
      <c r="C47" s="39">
        <v>18000</v>
      </c>
      <c r="D47" s="40">
        <f>B47-C47</f>
        <v>-18000</v>
      </c>
      <c r="E47" s="13">
        <f>(D47/(1+$B$43)^A47)</f>
        <v>-18000</v>
      </c>
    </row>
    <row r="48" spans="1:8" ht="15" customHeight="1" x14ac:dyDescent="0.25">
      <c r="A48" s="3">
        <v>1</v>
      </c>
      <c r="B48" s="11">
        <v>16500</v>
      </c>
      <c r="C48" s="11">
        <v>6000</v>
      </c>
      <c r="D48" s="13">
        <f t="shared" ref="D48:D51" si="2">B48-C48</f>
        <v>10500</v>
      </c>
      <c r="E48" s="13">
        <f>(D48/(1+$B$43)^A48)</f>
        <v>8750</v>
      </c>
    </row>
    <row r="49" spans="1:8" ht="15" customHeight="1" x14ac:dyDescent="0.25">
      <c r="A49" s="3">
        <v>2</v>
      </c>
      <c r="B49" s="11">
        <v>7500</v>
      </c>
      <c r="C49" s="11">
        <v>4500</v>
      </c>
      <c r="D49" s="13">
        <f t="shared" si="2"/>
        <v>3000</v>
      </c>
      <c r="E49" s="13">
        <f>(D49/(1+$B$43)^A49)</f>
        <v>2083.3333333333335</v>
      </c>
    </row>
    <row r="50" spans="1:8" ht="15" customHeight="1" x14ac:dyDescent="0.25">
      <c r="A50" s="3">
        <v>3</v>
      </c>
      <c r="B50" s="11">
        <v>7700</v>
      </c>
      <c r="C50" s="11">
        <v>4500</v>
      </c>
      <c r="D50" s="13">
        <f t="shared" si="2"/>
        <v>3200</v>
      </c>
      <c r="E50" s="13">
        <f>(D50/(1+$B$43)^A50)</f>
        <v>1851.851851851852</v>
      </c>
    </row>
    <row r="51" spans="1:8" ht="15" customHeight="1" x14ac:dyDescent="0.25">
      <c r="A51" s="3">
        <v>4</v>
      </c>
      <c r="B51" s="11">
        <v>8600</v>
      </c>
      <c r="C51" s="11">
        <v>4500</v>
      </c>
      <c r="D51" s="13">
        <f t="shared" si="2"/>
        <v>4100</v>
      </c>
      <c r="E51" s="13">
        <f>(D51/(1+$B$43)^A51)</f>
        <v>1977.2376543209878</v>
      </c>
    </row>
    <row r="52" spans="1:8" ht="15" customHeight="1" x14ac:dyDescent="0.25">
      <c r="D52" s="33" t="s">
        <v>18</v>
      </c>
      <c r="E52" s="34">
        <f>SUM(E47:E51)</f>
        <v>-3337.5771604938263</v>
      </c>
    </row>
    <row r="53" spans="1:8" ht="15" customHeight="1" thickBot="1" x14ac:dyDescent="0.3">
      <c r="B53" s="37"/>
      <c r="C53" s="37"/>
      <c r="D53" s="37"/>
      <c r="E53" s="37"/>
      <c r="F53" s="37"/>
    </row>
    <row r="54" spans="1:8" ht="15" customHeight="1" x14ac:dyDescent="0.25">
      <c r="B54" s="37"/>
      <c r="C54" s="37"/>
      <c r="D54" s="37"/>
      <c r="E54" s="212" t="s">
        <v>14</v>
      </c>
      <c r="F54" s="213"/>
    </row>
    <row r="55" spans="1:8" ht="15" customHeight="1" x14ac:dyDescent="0.25">
      <c r="A55" s="153" t="s">
        <v>167</v>
      </c>
      <c r="B55" s="154"/>
      <c r="C55" s="210" t="s">
        <v>13</v>
      </c>
      <c r="D55" s="257">
        <f>IRR(D47:D51,B43)</f>
        <v>7.5288992592640103E-2</v>
      </c>
      <c r="E55" s="253" t="s">
        <v>26</v>
      </c>
      <c r="F55" s="254" t="s">
        <v>28</v>
      </c>
    </row>
    <row r="56" spans="1:8" ht="15.75" thickBot="1" x14ac:dyDescent="0.3">
      <c r="A56" s="152" t="s">
        <v>25</v>
      </c>
      <c r="B56" s="68"/>
      <c r="C56" s="210" t="s">
        <v>18</v>
      </c>
      <c r="D56" s="220">
        <f>NPV(B43,D48:D51)+B42</f>
        <v>-3337.5771604938254</v>
      </c>
      <c r="E56" s="255" t="s">
        <v>27</v>
      </c>
      <c r="F56" s="256" t="s">
        <v>28</v>
      </c>
      <c r="H56" s="37"/>
    </row>
    <row r="57" spans="1:8" x14ac:dyDescent="0.25">
      <c r="C57" s="210" t="s">
        <v>4</v>
      </c>
      <c r="D57" s="209">
        <v>0.2</v>
      </c>
      <c r="H57" s="37"/>
    </row>
    <row r="58" spans="1:8" x14ac:dyDescent="0.25">
      <c r="H58" s="37"/>
    </row>
    <row r="59" spans="1:8" x14ac:dyDescent="0.25">
      <c r="H59" s="37"/>
    </row>
    <row r="60" spans="1:8" x14ac:dyDescent="0.25">
      <c r="H60" s="37"/>
    </row>
    <row r="61" spans="1:8" ht="30" customHeight="1" x14ac:dyDescent="0.25">
      <c r="H61" s="37"/>
    </row>
    <row r="66" spans="1:7" x14ac:dyDescent="0.25">
      <c r="A66" s="81" t="s">
        <v>29</v>
      </c>
    </row>
    <row r="67" spans="1:7" x14ac:dyDescent="0.25">
      <c r="A67" t="s">
        <v>200</v>
      </c>
    </row>
    <row r="68" spans="1:7" x14ac:dyDescent="0.25">
      <c r="A68" t="s">
        <v>201</v>
      </c>
    </row>
    <row r="69" spans="1:7" x14ac:dyDescent="0.25">
      <c r="A69" t="s">
        <v>202</v>
      </c>
    </row>
    <row r="70" spans="1:7" x14ac:dyDescent="0.25">
      <c r="A70" t="s">
        <v>203</v>
      </c>
    </row>
    <row r="71" spans="1:7" x14ac:dyDescent="0.25">
      <c r="A71" t="s">
        <v>204</v>
      </c>
    </row>
    <row r="72" spans="1:7" x14ac:dyDescent="0.25">
      <c r="A72" t="s">
        <v>205</v>
      </c>
    </row>
    <row r="73" spans="1:7" x14ac:dyDescent="0.25">
      <c r="A73" t="s">
        <v>206</v>
      </c>
    </row>
    <row r="74" spans="1:7" ht="18.75" x14ac:dyDescent="0.25">
      <c r="A74" s="295"/>
      <c r="B74" s="295"/>
      <c r="C74" s="295"/>
      <c r="D74" s="295"/>
      <c r="E74" s="295"/>
      <c r="F74" s="295"/>
    </row>
    <row r="75" spans="1:7" x14ac:dyDescent="0.25">
      <c r="A75" s="80" t="s">
        <v>166</v>
      </c>
      <c r="B75" s="37"/>
      <c r="C75" s="37"/>
      <c r="D75" s="37"/>
      <c r="E75" s="37"/>
      <c r="F75" s="37"/>
      <c r="G75" s="37"/>
    </row>
    <row r="76" spans="1:7" x14ac:dyDescent="0.25">
      <c r="A76" s="35"/>
      <c r="B76" s="191" t="s">
        <v>31</v>
      </c>
      <c r="C76" s="192">
        <v>0.18</v>
      </c>
      <c r="D76" s="37"/>
      <c r="E76" s="37"/>
      <c r="F76" s="37"/>
      <c r="G76" s="37"/>
    </row>
    <row r="77" spans="1:7" x14ac:dyDescent="0.25">
      <c r="A77" s="35"/>
      <c r="B77" s="72" t="s">
        <v>39</v>
      </c>
      <c r="C77" s="106">
        <v>-120000</v>
      </c>
      <c r="G77" s="37"/>
    </row>
    <row r="78" spans="1:7" x14ac:dyDescent="0.25">
      <c r="A78" s="10"/>
      <c r="G78" s="37"/>
    </row>
    <row r="79" spans="1:7" x14ac:dyDescent="0.25">
      <c r="B79" s="176" t="s">
        <v>30</v>
      </c>
      <c r="C79" s="176" t="s">
        <v>1</v>
      </c>
      <c r="D79" s="176" t="s">
        <v>2</v>
      </c>
      <c r="E79" s="45"/>
      <c r="F79" s="29"/>
      <c r="G79" s="37"/>
    </row>
    <row r="80" spans="1:7" x14ac:dyDescent="0.25">
      <c r="B80" s="3">
        <v>0</v>
      </c>
      <c r="C80" s="11">
        <v>0</v>
      </c>
      <c r="D80" s="39">
        <v>120000</v>
      </c>
      <c r="E80" s="46"/>
      <c r="F80" s="30"/>
      <c r="G80" s="37"/>
    </row>
    <row r="81" spans="1:7" x14ac:dyDescent="0.25">
      <c r="B81" s="3">
        <v>1</v>
      </c>
      <c r="C81" s="11">
        <v>45000</v>
      </c>
      <c r="D81" s="11">
        <v>15000</v>
      </c>
      <c r="E81" s="47"/>
      <c r="F81" s="30"/>
    </row>
    <row r="82" spans="1:7" x14ac:dyDescent="0.25">
      <c r="B82" s="3">
        <v>2</v>
      </c>
      <c r="C82" s="11">
        <v>58000</v>
      </c>
      <c r="D82" s="11">
        <v>15000</v>
      </c>
      <c r="E82" s="47"/>
      <c r="F82" s="30"/>
    </row>
    <row r="83" spans="1:7" x14ac:dyDescent="0.25">
      <c r="B83" s="3">
        <v>3</v>
      </c>
      <c r="C83" s="11">
        <v>48000</v>
      </c>
      <c r="D83" s="11">
        <v>20000</v>
      </c>
      <c r="E83" s="47"/>
      <c r="F83" s="30"/>
    </row>
    <row r="84" spans="1:7" x14ac:dyDescent="0.25">
      <c r="B84" s="3">
        <v>4</v>
      </c>
      <c r="C84" s="11">
        <v>63000</v>
      </c>
      <c r="D84" s="11">
        <v>25000</v>
      </c>
      <c r="E84" s="47"/>
      <c r="F84" s="30"/>
    </row>
    <row r="85" spans="1:7" x14ac:dyDescent="0.25">
      <c r="B85" s="3">
        <v>5</v>
      </c>
      <c r="C85" s="11">
        <v>68000</v>
      </c>
      <c r="D85" s="11">
        <v>30000</v>
      </c>
      <c r="E85" s="47"/>
      <c r="F85" s="30"/>
    </row>
    <row r="86" spans="1:7" x14ac:dyDescent="0.25">
      <c r="B86" s="3">
        <v>6</v>
      </c>
      <c r="C86" s="11">
        <v>75000</v>
      </c>
      <c r="D86" s="11">
        <v>30000</v>
      </c>
      <c r="E86" s="47"/>
      <c r="F86" s="30"/>
    </row>
    <row r="87" spans="1:7" x14ac:dyDescent="0.25">
      <c r="F87" s="15"/>
    </row>
    <row r="88" spans="1:7" x14ac:dyDescent="0.25">
      <c r="A88" s="196" t="s">
        <v>34</v>
      </c>
      <c r="B88" s="37"/>
    </row>
    <row r="89" spans="1:7" x14ac:dyDescent="0.25">
      <c r="A89" s="94" t="s">
        <v>33</v>
      </c>
      <c r="B89" s="94" t="s">
        <v>35</v>
      </c>
      <c r="C89" s="95" t="s">
        <v>36</v>
      </c>
      <c r="D89" s="95" t="s">
        <v>37</v>
      </c>
      <c r="E89" s="95" t="s">
        <v>38</v>
      </c>
      <c r="F89" s="176" t="s">
        <v>32</v>
      </c>
    </row>
    <row r="90" spans="1:7" ht="18.75" x14ac:dyDescent="0.3">
      <c r="A90" s="2">
        <v>0</v>
      </c>
      <c r="B90" s="42">
        <v>120000</v>
      </c>
      <c r="C90" s="32">
        <f>D81/2</f>
        <v>7500</v>
      </c>
      <c r="D90" s="32">
        <f>C81/2</f>
        <v>22500</v>
      </c>
      <c r="E90" s="207">
        <f>D90-C90-B90</f>
        <v>-105000</v>
      </c>
      <c r="F90" s="206">
        <f t="shared" ref="F90:F96" si="3">(E90/(1+$C$76)^A90)</f>
        <v>-105000</v>
      </c>
      <c r="G90" s="128" t="s">
        <v>3</v>
      </c>
    </row>
    <row r="91" spans="1:7" x14ac:dyDescent="0.25">
      <c r="A91" s="41">
        <v>1</v>
      </c>
      <c r="B91" s="41"/>
      <c r="C91" s="32">
        <f t="shared" ref="C91:C96" si="4">D81/2+D82/2</f>
        <v>15000</v>
      </c>
      <c r="D91" s="32">
        <f t="shared" ref="D91:D96" si="5">C81/2+C82/2</f>
        <v>51500</v>
      </c>
      <c r="E91" s="32">
        <f>D91-C91</f>
        <v>36500</v>
      </c>
      <c r="F91" s="13">
        <f t="shared" si="3"/>
        <v>30932.203389830509</v>
      </c>
    </row>
    <row r="92" spans="1:7" x14ac:dyDescent="0.25">
      <c r="A92" s="41">
        <v>2</v>
      </c>
      <c r="B92" s="41"/>
      <c r="C92" s="32">
        <f t="shared" si="4"/>
        <v>17500</v>
      </c>
      <c r="D92" s="32">
        <f t="shared" si="5"/>
        <v>53000</v>
      </c>
      <c r="E92" s="32">
        <f t="shared" ref="E92:E96" si="6">D92-C92</f>
        <v>35500</v>
      </c>
      <c r="F92" s="13">
        <f t="shared" si="3"/>
        <v>25495.547256535479</v>
      </c>
    </row>
    <row r="93" spans="1:7" x14ac:dyDescent="0.25">
      <c r="A93" s="41">
        <v>3</v>
      </c>
      <c r="B93" s="41"/>
      <c r="C93" s="32">
        <f t="shared" si="4"/>
        <v>22500</v>
      </c>
      <c r="D93" s="32">
        <f t="shared" si="5"/>
        <v>55500</v>
      </c>
      <c r="E93" s="32">
        <f t="shared" si="6"/>
        <v>33000</v>
      </c>
      <c r="F93" s="13">
        <f t="shared" si="3"/>
        <v>20084.818798416589</v>
      </c>
    </row>
    <row r="94" spans="1:7" x14ac:dyDescent="0.25">
      <c r="A94" s="41">
        <v>4</v>
      </c>
      <c r="B94" s="41"/>
      <c r="C94" s="32">
        <f t="shared" si="4"/>
        <v>27500</v>
      </c>
      <c r="D94" s="32">
        <f t="shared" si="5"/>
        <v>65500</v>
      </c>
      <c r="E94" s="32">
        <f t="shared" si="6"/>
        <v>38000</v>
      </c>
      <c r="F94" s="13">
        <f t="shared" si="3"/>
        <v>19599.977255773767</v>
      </c>
    </row>
    <row r="95" spans="1:7" x14ac:dyDescent="0.25">
      <c r="A95" s="41">
        <v>5</v>
      </c>
      <c r="B95" s="41"/>
      <c r="C95" s="32">
        <f t="shared" si="4"/>
        <v>30000</v>
      </c>
      <c r="D95" s="32">
        <f t="shared" si="5"/>
        <v>71500</v>
      </c>
      <c r="E95" s="32">
        <f t="shared" si="6"/>
        <v>41500</v>
      </c>
      <c r="F95" s="13">
        <f t="shared" si="3"/>
        <v>18140.032473564035</v>
      </c>
    </row>
    <row r="96" spans="1:7" x14ac:dyDescent="0.25">
      <c r="A96" s="41">
        <v>6</v>
      </c>
      <c r="B96" s="41"/>
      <c r="C96" s="32">
        <f t="shared" si="4"/>
        <v>15000</v>
      </c>
      <c r="D96" s="32">
        <f t="shared" si="5"/>
        <v>37500</v>
      </c>
      <c r="E96" s="32">
        <f t="shared" si="6"/>
        <v>22500</v>
      </c>
      <c r="F96" s="13">
        <f t="shared" si="3"/>
        <v>8334.7096315129838</v>
      </c>
    </row>
    <row r="97" spans="1:6" x14ac:dyDescent="0.25">
      <c r="E97" s="27" t="s">
        <v>18</v>
      </c>
      <c r="F97" s="28">
        <f>SUM(F90:F96)</f>
        <v>17587.288805633361</v>
      </c>
    </row>
    <row r="98" spans="1:6" ht="15.75" thickBot="1" x14ac:dyDescent="0.3">
      <c r="A98" s="202" t="s">
        <v>31</v>
      </c>
      <c r="B98" s="203">
        <v>0.18</v>
      </c>
    </row>
    <row r="99" spans="1:6" x14ac:dyDescent="0.25">
      <c r="A99" s="204" t="s">
        <v>3</v>
      </c>
      <c r="B99" s="205">
        <v>-105000</v>
      </c>
      <c r="E99" s="212" t="s">
        <v>14</v>
      </c>
      <c r="F99" s="213"/>
    </row>
    <row r="100" spans="1:6" x14ac:dyDescent="0.25">
      <c r="A100" s="296" t="s">
        <v>167</v>
      </c>
      <c r="B100" s="301"/>
      <c r="C100" s="210" t="s">
        <v>13</v>
      </c>
      <c r="D100" s="221">
        <f>IRR(E90:E96,C76)</f>
        <v>0.24522204903916012</v>
      </c>
      <c r="E100" s="253" t="s">
        <v>15</v>
      </c>
      <c r="F100" s="254" t="s">
        <v>16</v>
      </c>
    </row>
    <row r="101" spans="1:6" ht="15.75" thickBot="1" x14ac:dyDescent="0.3">
      <c r="A101" s="152" t="s">
        <v>25</v>
      </c>
      <c r="B101" s="68"/>
      <c r="C101" s="210" t="s">
        <v>18</v>
      </c>
      <c r="D101" s="222">
        <f>NPV(B98,E91:E96)+E90</f>
        <v>17587.288805633347</v>
      </c>
      <c r="E101" s="255" t="s">
        <v>17</v>
      </c>
      <c r="F101" s="256" t="s">
        <v>16</v>
      </c>
    </row>
    <row r="102" spans="1:6" x14ac:dyDescent="0.25">
      <c r="B102" s="44"/>
      <c r="C102" s="211" t="s">
        <v>4</v>
      </c>
      <c r="D102" s="223">
        <v>0.18</v>
      </c>
    </row>
    <row r="103" spans="1:6" x14ac:dyDescent="0.25">
      <c r="B103" s="44"/>
      <c r="C103" s="36"/>
      <c r="D103" s="36"/>
      <c r="E103" s="36"/>
    </row>
    <row r="104" spans="1:6" x14ac:dyDescent="0.25">
      <c r="B104" s="44"/>
      <c r="C104" s="36"/>
      <c r="D104" s="36"/>
      <c r="E104" s="36"/>
    </row>
    <row r="105" spans="1:6" x14ac:dyDescent="0.25">
      <c r="A105" s="81" t="s">
        <v>40</v>
      </c>
      <c r="B105" s="44"/>
      <c r="C105" s="36"/>
      <c r="D105" s="36"/>
      <c r="E105" s="36"/>
    </row>
    <row r="106" spans="1:6" x14ac:dyDescent="0.25">
      <c r="B106" t="s">
        <v>53</v>
      </c>
    </row>
    <row r="107" spans="1:6" ht="36" x14ac:dyDescent="0.55000000000000004">
      <c r="A107" s="217" t="s">
        <v>168</v>
      </c>
    </row>
    <row r="109" spans="1:6" x14ac:dyDescent="0.25">
      <c r="A109" s="81" t="s">
        <v>41</v>
      </c>
    </row>
    <row r="110" spans="1:6" x14ac:dyDescent="0.25">
      <c r="A110" s="237" t="s">
        <v>50</v>
      </c>
    </row>
    <row r="111" spans="1:6" x14ac:dyDescent="0.25">
      <c r="A111" s="80" t="s">
        <v>147</v>
      </c>
    </row>
    <row r="112" spans="1:6" x14ac:dyDescent="0.25">
      <c r="B112" s="194" t="s">
        <v>35</v>
      </c>
      <c r="C112" s="193">
        <f>92000</f>
        <v>92000</v>
      </c>
    </row>
    <row r="113" spans="1:7" x14ac:dyDescent="0.25">
      <c r="B113" s="194" t="s">
        <v>48</v>
      </c>
      <c r="C113" s="195">
        <v>0.27</v>
      </c>
    </row>
    <row r="116" spans="1:7" x14ac:dyDescent="0.25">
      <c r="A116" s="94" t="s">
        <v>42</v>
      </c>
      <c r="B116" s="94" t="s">
        <v>35</v>
      </c>
      <c r="C116" s="95" t="s">
        <v>36</v>
      </c>
      <c r="D116" s="95" t="s">
        <v>37</v>
      </c>
      <c r="E116" s="58"/>
      <c r="F116" s="57"/>
    </row>
    <row r="117" spans="1:7" x14ac:dyDescent="0.25">
      <c r="A117" s="41">
        <v>1</v>
      </c>
      <c r="B117" s="42">
        <v>92000</v>
      </c>
      <c r="C117" s="32">
        <f>20000</f>
        <v>20000</v>
      </c>
      <c r="D117" s="32">
        <f>40000</f>
        <v>40000</v>
      </c>
    </row>
    <row r="118" spans="1:7" x14ac:dyDescent="0.25">
      <c r="A118" s="41">
        <v>2</v>
      </c>
      <c r="B118" s="41"/>
      <c r="C118" s="32">
        <f>(C117+(C117*15%))</f>
        <v>23000</v>
      </c>
      <c r="D118" s="32">
        <f>70000</f>
        <v>70000</v>
      </c>
    </row>
    <row r="119" spans="1:7" x14ac:dyDescent="0.25">
      <c r="A119" s="41">
        <v>3</v>
      </c>
      <c r="B119" s="41"/>
      <c r="C119" s="32">
        <f>(C118+(C118*15%))</f>
        <v>26450</v>
      </c>
      <c r="D119" s="32">
        <v>80000</v>
      </c>
    </row>
    <row r="120" spans="1:7" x14ac:dyDescent="0.25">
      <c r="A120" s="41">
        <v>4</v>
      </c>
      <c r="B120" s="41"/>
      <c r="C120" s="32">
        <f>(C119+(C119*15%))</f>
        <v>30417.5</v>
      </c>
      <c r="D120" s="32">
        <v>110000</v>
      </c>
    </row>
    <row r="121" spans="1:7" x14ac:dyDescent="0.25">
      <c r="A121" s="64" t="s">
        <v>51</v>
      </c>
      <c r="B121" s="51"/>
      <c r="C121" s="52"/>
      <c r="D121" s="52"/>
    </row>
    <row r="122" spans="1:7" x14ac:dyDescent="0.25">
      <c r="A122" s="224" t="s">
        <v>43</v>
      </c>
      <c r="B122" s="224" t="s">
        <v>39</v>
      </c>
      <c r="C122" s="55" t="s">
        <v>44</v>
      </c>
      <c r="D122" s="55" t="s">
        <v>45</v>
      </c>
      <c r="E122" s="224" t="s">
        <v>46</v>
      </c>
      <c r="F122" s="224" t="s">
        <v>47</v>
      </c>
    </row>
    <row r="123" spans="1:7" x14ac:dyDescent="0.25">
      <c r="A123" s="53">
        <v>0</v>
      </c>
      <c r="B123" s="54">
        <v>92000</v>
      </c>
      <c r="C123" s="32">
        <f>C117/2</f>
        <v>10000</v>
      </c>
      <c r="D123" s="32">
        <f>D117/2</f>
        <v>20000</v>
      </c>
      <c r="E123" s="62">
        <f>D123-C123-B123</f>
        <v>-82000</v>
      </c>
      <c r="F123" s="63">
        <f>E123/(1+27%)^A123</f>
        <v>-82000</v>
      </c>
    </row>
    <row r="124" spans="1:7" x14ac:dyDescent="0.25">
      <c r="A124" s="53">
        <v>1</v>
      </c>
      <c r="B124" s="2"/>
      <c r="C124" s="32">
        <f>C117/2+C118/2</f>
        <v>21500</v>
      </c>
      <c r="D124" s="32">
        <f>D117/2+D118/2</f>
        <v>55000</v>
      </c>
      <c r="E124" s="32">
        <f>D124-C124</f>
        <v>33500</v>
      </c>
      <c r="F124" s="13">
        <f t="shared" ref="F124:F127" si="7">E124/(1+27%)^A124</f>
        <v>26377.952755905513</v>
      </c>
    </row>
    <row r="125" spans="1:7" x14ac:dyDescent="0.25">
      <c r="A125" s="53">
        <v>2</v>
      </c>
      <c r="B125" s="2"/>
      <c r="C125" s="32">
        <f t="shared" ref="C125:D126" si="8">C118/2+C119/2</f>
        <v>24725</v>
      </c>
      <c r="D125" s="32">
        <f t="shared" si="8"/>
        <v>75000</v>
      </c>
      <c r="E125" s="32">
        <f t="shared" ref="E125:E127" si="9">D125-C125</f>
        <v>50275</v>
      </c>
      <c r="F125" s="13">
        <f t="shared" si="7"/>
        <v>31170.562341124682</v>
      </c>
    </row>
    <row r="126" spans="1:7" x14ac:dyDescent="0.25">
      <c r="A126" s="53">
        <v>3</v>
      </c>
      <c r="B126" s="2"/>
      <c r="C126" s="32">
        <f t="shared" si="8"/>
        <v>28433.75</v>
      </c>
      <c r="D126" s="32">
        <f t="shared" si="8"/>
        <v>95000</v>
      </c>
      <c r="E126" s="32">
        <f t="shared" si="9"/>
        <v>66566.25</v>
      </c>
      <c r="F126" s="13">
        <f t="shared" si="7"/>
        <v>32496.974442767787</v>
      </c>
      <c r="G126" s="60" t="s">
        <v>3</v>
      </c>
    </row>
    <row r="127" spans="1:7" x14ac:dyDescent="0.25">
      <c r="A127" s="53">
        <v>4</v>
      </c>
      <c r="B127" s="2"/>
      <c r="C127" s="32">
        <f>C120/2+C121/2</f>
        <v>15208.75</v>
      </c>
      <c r="D127" s="32">
        <f>D120/2+D121/2</f>
        <v>55000</v>
      </c>
      <c r="E127" s="56">
        <f t="shared" si="9"/>
        <v>39791.25</v>
      </c>
      <c r="F127" s="11">
        <f t="shared" si="7"/>
        <v>15295.817683209551</v>
      </c>
    </row>
    <row r="128" spans="1:7" x14ac:dyDescent="0.25">
      <c r="A128" s="2"/>
      <c r="B128" s="2"/>
      <c r="C128" s="32"/>
      <c r="D128" s="32"/>
      <c r="E128" s="22" t="s">
        <v>18</v>
      </c>
      <c r="F128" s="55">
        <f>SUM(F123:F127)</f>
        <v>23341.307223007534</v>
      </c>
    </row>
    <row r="130" spans="1:6" x14ac:dyDescent="0.25">
      <c r="C130" s="225" t="s">
        <v>3</v>
      </c>
      <c r="D130" s="226">
        <f>82000</f>
        <v>82000</v>
      </c>
    </row>
    <row r="131" spans="1:6" x14ac:dyDescent="0.25">
      <c r="C131" s="225" t="s">
        <v>49</v>
      </c>
      <c r="D131" s="227">
        <v>0.27</v>
      </c>
    </row>
    <row r="132" spans="1:6" ht="15.75" thickBot="1" x14ac:dyDescent="0.3"/>
    <row r="133" spans="1:6" x14ac:dyDescent="0.25">
      <c r="A133" s="153" t="s">
        <v>167</v>
      </c>
      <c r="B133" s="154"/>
      <c r="C133" s="157" t="s">
        <v>13</v>
      </c>
      <c r="D133" s="228">
        <f>IRR(E123:E127,D131)</f>
        <v>0.4165844021350531</v>
      </c>
      <c r="E133" s="212" t="s">
        <v>14</v>
      </c>
      <c r="F133" s="213"/>
    </row>
    <row r="134" spans="1:6" x14ac:dyDescent="0.25">
      <c r="C134" s="157" t="s">
        <v>18</v>
      </c>
      <c r="D134" s="232">
        <f>NPV(D131,E124:E127,)+E123</f>
        <v>23341.307223007519</v>
      </c>
      <c r="E134" s="230" t="s">
        <v>15</v>
      </c>
      <c r="F134" s="214" t="s">
        <v>16</v>
      </c>
    </row>
    <row r="135" spans="1:6" ht="15.75" thickBot="1" x14ac:dyDescent="0.3">
      <c r="A135" s="152" t="s">
        <v>25</v>
      </c>
      <c r="B135" s="68"/>
      <c r="C135" s="157" t="s">
        <v>4</v>
      </c>
      <c r="D135" s="229">
        <v>0.27</v>
      </c>
      <c r="E135" s="231" t="s">
        <v>17</v>
      </c>
      <c r="F135" s="215" t="s">
        <v>16</v>
      </c>
    </row>
    <row r="137" spans="1:6" ht="15.75" thickBot="1" x14ac:dyDescent="0.3">
      <c r="B137" s="81" t="s">
        <v>59</v>
      </c>
    </row>
    <row r="138" spans="1:6" x14ac:dyDescent="0.25">
      <c r="B138" s="22" t="s">
        <v>143</v>
      </c>
      <c r="C138" s="22" t="s">
        <v>60</v>
      </c>
      <c r="D138" s="234" t="s">
        <v>61</v>
      </c>
      <c r="E138" s="235" t="s">
        <v>144</v>
      </c>
    </row>
    <row r="139" spans="1:6" ht="15.75" thickBot="1" x14ac:dyDescent="0.3">
      <c r="B139" s="2">
        <v>0</v>
      </c>
      <c r="C139" s="156">
        <f>(C123+B123)/(1+$D$131)^A123</f>
        <v>102000</v>
      </c>
      <c r="D139" s="233">
        <f>D123/(1+$D$131)^A123</f>
        <v>20000</v>
      </c>
      <c r="E139" s="236">
        <f>D144/C144</f>
        <v>1.1515807076510876</v>
      </c>
      <c r="F139" t="s">
        <v>169</v>
      </c>
    </row>
    <row r="140" spans="1:6" x14ac:dyDescent="0.25">
      <c r="B140" s="2">
        <v>1</v>
      </c>
      <c r="C140" s="156">
        <f>C124/(1+$D$131)^A124</f>
        <v>16929.133858267716</v>
      </c>
      <c r="D140" s="233">
        <f>D124/(1+$D$131)^A124</f>
        <v>43307.086614173226</v>
      </c>
      <c r="E140" s="10"/>
    </row>
    <row r="141" spans="1:6" x14ac:dyDescent="0.25">
      <c r="B141" s="2">
        <v>2</v>
      </c>
      <c r="C141" s="156">
        <f>C125/(1+$D$131)^A125</f>
        <v>15329.530659061318</v>
      </c>
      <c r="D141" s="233">
        <f>D125/(1+$D$131)^A125</f>
        <v>46500.093000186003</v>
      </c>
      <c r="E141" s="10"/>
    </row>
    <row r="142" spans="1:6" x14ac:dyDescent="0.25">
      <c r="B142" s="2">
        <v>3</v>
      </c>
      <c r="C142" s="156">
        <f>C126/(1+$D$131)^A126</f>
        <v>13881.071069228754</v>
      </c>
      <c r="D142" s="233">
        <f>D126/(1+$D$131)^A126</f>
        <v>46378.045511996541</v>
      </c>
      <c r="E142" s="10"/>
    </row>
    <row r="143" spans="1:6" x14ac:dyDescent="0.25">
      <c r="B143" s="2">
        <v>4</v>
      </c>
      <c r="C143" s="156">
        <f>C127/(1+$D$131)^A127</f>
        <v>5846.2668850441551</v>
      </c>
      <c r="D143" s="233">
        <f>D127/(1+$D$131)^A127</f>
        <v>21142.084568253707</v>
      </c>
      <c r="E143" s="10"/>
    </row>
    <row r="144" spans="1:6" x14ac:dyDescent="0.25">
      <c r="B144" s="22" t="s">
        <v>136</v>
      </c>
      <c r="C144" s="156">
        <f>SUM(C139:C143)</f>
        <v>153986.00247160194</v>
      </c>
      <c r="D144" s="233">
        <f>SUM(D139:D143)</f>
        <v>177327.30969460949</v>
      </c>
      <c r="E144" s="10"/>
    </row>
    <row r="146" spans="1:2" x14ac:dyDescent="0.25">
      <c r="A146" s="237" t="s">
        <v>52</v>
      </c>
    </row>
    <row r="147" spans="1:2" x14ac:dyDescent="0.25">
      <c r="B147" t="s">
        <v>53</v>
      </c>
    </row>
    <row r="163" spans="1:7" x14ac:dyDescent="0.25">
      <c r="A163" s="81" t="s">
        <v>54</v>
      </c>
    </row>
    <row r="164" spans="1:7" x14ac:dyDescent="0.25">
      <c r="B164" s="238" t="s">
        <v>58</v>
      </c>
    </row>
    <row r="165" spans="1:7" x14ac:dyDescent="0.25">
      <c r="B165" s="94" t="s">
        <v>42</v>
      </c>
      <c r="C165" s="95" t="s">
        <v>36</v>
      </c>
      <c r="D165" s="95" t="s">
        <v>37</v>
      </c>
    </row>
    <row r="166" spans="1:7" x14ac:dyDescent="0.25">
      <c r="B166" s="41">
        <v>1</v>
      </c>
      <c r="C166" s="65">
        <v>80000</v>
      </c>
      <c r="D166" s="2"/>
    </row>
    <row r="167" spans="1:7" x14ac:dyDescent="0.25">
      <c r="B167" s="41">
        <v>2</v>
      </c>
      <c r="C167" s="32">
        <f>4000</f>
        <v>4000</v>
      </c>
      <c r="D167" s="32">
        <f>40000</f>
        <v>40000</v>
      </c>
    </row>
    <row r="168" spans="1:7" x14ac:dyDescent="0.25">
      <c r="B168" s="41">
        <v>3</v>
      </c>
      <c r="C168" s="32">
        <f>4000</f>
        <v>4000</v>
      </c>
      <c r="D168" s="32">
        <f>40000</f>
        <v>40000</v>
      </c>
    </row>
    <row r="169" spans="1:7" x14ac:dyDescent="0.25">
      <c r="B169" s="41">
        <v>4</v>
      </c>
      <c r="C169" s="32">
        <f>4000</f>
        <v>4000</v>
      </c>
      <c r="D169" s="32">
        <f>40000</f>
        <v>40000</v>
      </c>
    </row>
    <row r="170" spans="1:7" x14ac:dyDescent="0.25">
      <c r="B170" s="53">
        <v>5</v>
      </c>
      <c r="C170" s="32">
        <f>4000</f>
        <v>4000</v>
      </c>
      <c r="D170" s="32">
        <f>40000</f>
        <v>40000</v>
      </c>
    </row>
    <row r="171" spans="1:7" x14ac:dyDescent="0.25">
      <c r="C171" s="65"/>
    </row>
    <row r="172" spans="1:7" x14ac:dyDescent="0.25">
      <c r="B172" s="24" t="s">
        <v>51</v>
      </c>
    </row>
    <row r="174" spans="1:7" x14ac:dyDescent="0.25">
      <c r="B174" s="94" t="s">
        <v>43</v>
      </c>
      <c r="C174" s="98" t="s">
        <v>44</v>
      </c>
      <c r="D174" s="98" t="s">
        <v>45</v>
      </c>
      <c r="E174" s="95" t="s">
        <v>46</v>
      </c>
      <c r="F174" s="22" t="s">
        <v>24</v>
      </c>
    </row>
    <row r="175" spans="1:7" ht="15.75" x14ac:dyDescent="0.25">
      <c r="A175" s="66"/>
      <c r="B175" s="53">
        <v>0</v>
      </c>
      <c r="C175" s="32">
        <f>C166*(70%)</f>
        <v>56000</v>
      </c>
      <c r="D175" s="32"/>
      <c r="E175" s="62">
        <f>D175-C175</f>
        <v>-56000</v>
      </c>
      <c r="F175" s="239">
        <f>E175/(1+20%)^B175</f>
        <v>-56000</v>
      </c>
      <c r="G175" s="240" t="s">
        <v>3</v>
      </c>
    </row>
    <row r="176" spans="1:7" x14ac:dyDescent="0.25">
      <c r="A176" s="66"/>
      <c r="B176" s="53">
        <v>1</v>
      </c>
      <c r="C176" s="32">
        <f>C166*30%+C167*20%</f>
        <v>24800</v>
      </c>
      <c r="D176" s="32">
        <f>D167*50%</f>
        <v>20000</v>
      </c>
      <c r="E176" s="32">
        <f>D176-C176</f>
        <v>-4800</v>
      </c>
      <c r="F176" s="61">
        <f t="shared" ref="F176:F180" si="10">E176/(1+20%)^B176</f>
        <v>-4000</v>
      </c>
    </row>
    <row r="177" spans="1:7" x14ac:dyDescent="0.25">
      <c r="A177" s="66"/>
      <c r="B177" s="53">
        <v>2</v>
      </c>
      <c r="C177" s="32">
        <f>C167*80%+C168*20%</f>
        <v>4000</v>
      </c>
      <c r="D177" s="32">
        <f>D167*50%+50%*D168</f>
        <v>40000</v>
      </c>
      <c r="E177" s="32">
        <f t="shared" ref="E177:E179" si="11">D177-C177</f>
        <v>36000</v>
      </c>
      <c r="F177" s="61">
        <f t="shared" si="10"/>
        <v>25000</v>
      </c>
    </row>
    <row r="178" spans="1:7" x14ac:dyDescent="0.25">
      <c r="A178" s="66"/>
      <c r="B178" s="53">
        <v>3</v>
      </c>
      <c r="C178" s="32">
        <f t="shared" ref="C178" si="12">C168*80%+C169*20%</f>
        <v>4000</v>
      </c>
      <c r="D178" s="32">
        <f t="shared" ref="D178:D180" si="13">D168*50%+50%*D169</f>
        <v>40000</v>
      </c>
      <c r="E178" s="32">
        <f t="shared" si="11"/>
        <v>36000</v>
      </c>
      <c r="F178" s="61">
        <f t="shared" si="10"/>
        <v>20833.333333333332</v>
      </c>
    </row>
    <row r="179" spans="1:7" x14ac:dyDescent="0.25">
      <c r="B179" s="53">
        <v>4</v>
      </c>
      <c r="C179" s="32">
        <f>C169*80%+C170*20%</f>
        <v>4000</v>
      </c>
      <c r="D179" s="32">
        <f t="shared" si="13"/>
        <v>40000</v>
      </c>
      <c r="E179" s="32">
        <f t="shared" si="11"/>
        <v>36000</v>
      </c>
      <c r="F179" s="61">
        <f t="shared" si="10"/>
        <v>17361.111111111113</v>
      </c>
    </row>
    <row r="180" spans="1:7" x14ac:dyDescent="0.25">
      <c r="B180" s="53">
        <v>5</v>
      </c>
      <c r="C180" s="32">
        <f>C170*80%+C171*20%</f>
        <v>3200</v>
      </c>
      <c r="D180" s="32">
        <f t="shared" si="13"/>
        <v>20000</v>
      </c>
      <c r="E180" s="32">
        <f>D180-C180</f>
        <v>16800</v>
      </c>
      <c r="F180" s="61">
        <f t="shared" si="10"/>
        <v>6751.5432098765432</v>
      </c>
    </row>
    <row r="181" spans="1:7" x14ac:dyDescent="0.25">
      <c r="C181" s="15"/>
      <c r="D181" s="15"/>
      <c r="E181" s="22" t="s">
        <v>18</v>
      </c>
      <c r="F181" s="69">
        <f>SUM(F175:F180)</f>
        <v>9945.9876543209884</v>
      </c>
    </row>
    <row r="183" spans="1:7" x14ac:dyDescent="0.25">
      <c r="A183" s="252"/>
      <c r="B183" s="252"/>
    </row>
    <row r="184" spans="1:7" x14ac:dyDescent="0.25">
      <c r="A184" s="201" t="s">
        <v>3</v>
      </c>
      <c r="B184" s="241">
        <f>F175</f>
        <v>-56000</v>
      </c>
    </row>
    <row r="185" spans="1:7" ht="15.75" thickBot="1" x14ac:dyDescent="0.3">
      <c r="A185" s="201" t="s">
        <v>49</v>
      </c>
      <c r="B185" s="242">
        <v>0.2</v>
      </c>
    </row>
    <row r="186" spans="1:7" x14ac:dyDescent="0.25">
      <c r="B186" s="153" t="s">
        <v>19</v>
      </c>
      <c r="C186" s="208"/>
      <c r="D186" s="210" t="s">
        <v>13</v>
      </c>
      <c r="E186" s="248">
        <f>IRR(E175:E180,B185)</f>
        <v>0.26308271118208348</v>
      </c>
      <c r="F186" s="212" t="s">
        <v>14</v>
      </c>
      <c r="G186" s="213"/>
    </row>
    <row r="187" spans="1:7" x14ac:dyDescent="0.25">
      <c r="B187" s="152" t="s">
        <v>25</v>
      </c>
      <c r="C187" s="243"/>
      <c r="D187" s="210" t="s">
        <v>18</v>
      </c>
      <c r="E187" s="249">
        <f>NPV(B185,E176:E180)+E175</f>
        <v>9945.987654320983</v>
      </c>
      <c r="F187" s="244" t="s">
        <v>15</v>
      </c>
      <c r="G187" s="245" t="s">
        <v>16</v>
      </c>
    </row>
    <row r="188" spans="1:7" ht="15.75" thickBot="1" x14ac:dyDescent="0.3">
      <c r="D188" s="210" t="s">
        <v>4</v>
      </c>
      <c r="E188" s="229">
        <v>0.2</v>
      </c>
      <c r="F188" s="246" t="s">
        <v>17</v>
      </c>
      <c r="G188" s="247" t="s">
        <v>16</v>
      </c>
    </row>
    <row r="195" spans="1:7" ht="15.75" thickBot="1" x14ac:dyDescent="0.3"/>
    <row r="196" spans="1:7" ht="15.75" thickBot="1" x14ac:dyDescent="0.3">
      <c r="B196" s="250" t="s">
        <v>57</v>
      </c>
    </row>
    <row r="198" spans="1:7" x14ac:dyDescent="0.25">
      <c r="B198" s="95" t="s">
        <v>43</v>
      </c>
      <c r="C198" s="95" t="s">
        <v>44</v>
      </c>
      <c r="D198" s="95" t="s">
        <v>45</v>
      </c>
      <c r="E198" s="95" t="s">
        <v>55</v>
      </c>
      <c r="F198" s="95" t="s">
        <v>24</v>
      </c>
    </row>
    <row r="199" spans="1:7" x14ac:dyDescent="0.25">
      <c r="B199" s="2">
        <v>0</v>
      </c>
      <c r="C199" s="7">
        <v>95000</v>
      </c>
      <c r="D199" s="7"/>
      <c r="E199" s="7">
        <f>D199-C199</f>
        <v>-95000</v>
      </c>
      <c r="F199" s="7">
        <f>E199/(1+20%)^B199</f>
        <v>-95000</v>
      </c>
      <c r="G199" t="s">
        <v>3</v>
      </c>
    </row>
    <row r="200" spans="1:7" x14ac:dyDescent="0.25">
      <c r="B200" s="2">
        <v>1</v>
      </c>
      <c r="C200" s="7">
        <v>1500</v>
      </c>
      <c r="D200" s="7">
        <v>20000</v>
      </c>
      <c r="E200" s="7">
        <f t="shared" ref="E200:E204" si="14">D200-C200</f>
        <v>18500</v>
      </c>
      <c r="F200" s="7">
        <f t="shared" ref="F200:F204" si="15">E200/(1+20%)^B200</f>
        <v>15416.666666666668</v>
      </c>
    </row>
    <row r="201" spans="1:7" x14ac:dyDescent="0.25">
      <c r="B201" s="2">
        <v>2</v>
      </c>
      <c r="C201" s="7">
        <v>1500</v>
      </c>
      <c r="D201" s="7">
        <v>40000</v>
      </c>
      <c r="E201" s="7">
        <f t="shared" si="14"/>
        <v>38500</v>
      </c>
      <c r="F201" s="7">
        <f t="shared" si="15"/>
        <v>26736.111111111113</v>
      </c>
    </row>
    <row r="202" spans="1:7" x14ac:dyDescent="0.25">
      <c r="B202" s="2">
        <v>3</v>
      </c>
      <c r="C202" s="7">
        <v>1500</v>
      </c>
      <c r="D202" s="7">
        <v>40000</v>
      </c>
      <c r="E202" s="7">
        <f t="shared" si="14"/>
        <v>38500</v>
      </c>
      <c r="F202" s="7">
        <f t="shared" si="15"/>
        <v>22280.092592592591</v>
      </c>
    </row>
    <row r="203" spans="1:7" x14ac:dyDescent="0.25">
      <c r="B203" s="2">
        <v>4</v>
      </c>
      <c r="C203" s="7">
        <v>1500</v>
      </c>
      <c r="D203" s="7">
        <v>40000</v>
      </c>
      <c r="E203" s="7">
        <f t="shared" si="14"/>
        <v>38500</v>
      </c>
      <c r="F203" s="7">
        <f t="shared" si="15"/>
        <v>18566.743827160495</v>
      </c>
    </row>
    <row r="204" spans="1:7" x14ac:dyDescent="0.25">
      <c r="B204" s="2">
        <v>5</v>
      </c>
      <c r="C204" s="7">
        <v>1500</v>
      </c>
      <c r="D204" s="7">
        <v>20000</v>
      </c>
      <c r="E204" s="7">
        <f t="shared" si="14"/>
        <v>18500</v>
      </c>
      <c r="F204" s="7">
        <f t="shared" si="15"/>
        <v>7434.7350823045272</v>
      </c>
    </row>
    <row r="205" spans="1:7" x14ac:dyDescent="0.25">
      <c r="B205" s="2"/>
      <c r="C205" s="7"/>
      <c r="D205" s="7"/>
      <c r="E205" s="67" t="s">
        <v>18</v>
      </c>
      <c r="F205" s="67">
        <f>SUM(F199:F204)</f>
        <v>-4565.6507201646054</v>
      </c>
    </row>
    <row r="208" spans="1:7" x14ac:dyDescent="0.25">
      <c r="A208" s="201" t="s">
        <v>3</v>
      </c>
      <c r="B208" s="241">
        <f>F199</f>
        <v>-95000</v>
      </c>
    </row>
    <row r="209" spans="1:7" x14ac:dyDescent="0.25">
      <c r="A209" s="201" t="s">
        <v>49</v>
      </c>
      <c r="B209" s="242">
        <v>0.2</v>
      </c>
    </row>
    <row r="211" spans="1:7" x14ac:dyDescent="0.25">
      <c r="B211" s="153" t="s">
        <v>167</v>
      </c>
      <c r="C211" s="154"/>
      <c r="D211" s="210" t="s">
        <v>13</v>
      </c>
      <c r="E211" s="59">
        <f>IRR(E199:E204,B209)</f>
        <v>0.17866907356344996</v>
      </c>
      <c r="F211" s="297" t="s">
        <v>14</v>
      </c>
      <c r="G211" s="298"/>
    </row>
    <row r="212" spans="1:7" x14ac:dyDescent="0.25">
      <c r="F212" s="49" t="s">
        <v>26</v>
      </c>
      <c r="G212" s="2" t="s">
        <v>56</v>
      </c>
    </row>
    <row r="213" spans="1:7" x14ac:dyDescent="0.25">
      <c r="B213" s="152" t="s">
        <v>25</v>
      </c>
      <c r="C213" s="152"/>
      <c r="D213" s="157" t="s">
        <v>18</v>
      </c>
      <c r="E213" s="38">
        <f>NPV(B209,E200:E204)+E199</f>
        <v>-4565.6507201645873</v>
      </c>
      <c r="F213" s="2" t="s">
        <v>27</v>
      </c>
      <c r="G213" s="2" t="s">
        <v>56</v>
      </c>
    </row>
    <row r="215" spans="1:7" ht="21" x14ac:dyDescent="0.35">
      <c r="C215" s="299" t="s">
        <v>59</v>
      </c>
      <c r="D215" s="299"/>
      <c r="E215" s="299"/>
    </row>
    <row r="216" spans="1:7" x14ac:dyDescent="0.25">
      <c r="B216" s="300" t="s">
        <v>58</v>
      </c>
      <c r="C216" s="300"/>
      <c r="E216" s="300" t="s">
        <v>57</v>
      </c>
      <c r="F216" s="300"/>
    </row>
    <row r="217" spans="1:7" x14ac:dyDescent="0.25">
      <c r="A217" s="22" t="s">
        <v>43</v>
      </c>
      <c r="B217" s="22" t="s">
        <v>60</v>
      </c>
      <c r="C217" s="22" t="s">
        <v>61</v>
      </c>
      <c r="E217" s="22" t="s">
        <v>43</v>
      </c>
      <c r="F217" s="22" t="s">
        <v>60</v>
      </c>
      <c r="G217" s="22" t="s">
        <v>61</v>
      </c>
    </row>
    <row r="218" spans="1:7" x14ac:dyDescent="0.25">
      <c r="A218" s="2">
        <v>0</v>
      </c>
      <c r="B218" s="156">
        <f t="shared" ref="B218:B223" si="16">C175/(1+$B$185)^B175</f>
        <v>56000</v>
      </c>
      <c r="C218" s="156">
        <f t="shared" ref="C218:C223" si="17">D175/(1+$B$185)^B175</f>
        <v>0</v>
      </c>
      <c r="E218" s="2">
        <v>0</v>
      </c>
      <c r="F218" s="156">
        <f t="shared" ref="F218:F223" si="18">C199/(1+$B$185)^B199</f>
        <v>95000</v>
      </c>
      <c r="G218" s="156">
        <f t="shared" ref="G218:G223" si="19">D199/(1+$B$185)^B199</f>
        <v>0</v>
      </c>
    </row>
    <row r="219" spans="1:7" x14ac:dyDescent="0.25">
      <c r="A219" s="2">
        <v>1</v>
      </c>
      <c r="B219" s="156">
        <f t="shared" si="16"/>
        <v>20666.666666666668</v>
      </c>
      <c r="C219" s="156">
        <f t="shared" si="17"/>
        <v>16666.666666666668</v>
      </c>
      <c r="E219" s="2">
        <v>1</v>
      </c>
      <c r="F219" s="156">
        <f t="shared" si="18"/>
        <v>1250</v>
      </c>
      <c r="G219" s="156">
        <f t="shared" si="19"/>
        <v>16666.666666666668</v>
      </c>
    </row>
    <row r="220" spans="1:7" x14ac:dyDescent="0.25">
      <c r="A220" s="2">
        <v>2</v>
      </c>
      <c r="B220" s="156">
        <f t="shared" si="16"/>
        <v>2777.7777777777778</v>
      </c>
      <c r="C220" s="156">
        <f t="shared" si="17"/>
        <v>27777.777777777777</v>
      </c>
      <c r="E220" s="2">
        <v>2</v>
      </c>
      <c r="F220" s="156">
        <f t="shared" si="18"/>
        <v>1041.6666666666667</v>
      </c>
      <c r="G220" s="156">
        <f t="shared" si="19"/>
        <v>27777.777777777777</v>
      </c>
    </row>
    <row r="221" spans="1:7" x14ac:dyDescent="0.25">
      <c r="A221" s="2">
        <v>3</v>
      </c>
      <c r="B221" s="156">
        <f t="shared" si="16"/>
        <v>2314.8148148148148</v>
      </c>
      <c r="C221" s="156">
        <f t="shared" si="17"/>
        <v>23148.14814814815</v>
      </c>
      <c r="E221" s="2">
        <v>3</v>
      </c>
      <c r="F221" s="156">
        <f t="shared" si="18"/>
        <v>868.05555555555554</v>
      </c>
      <c r="G221" s="156">
        <f t="shared" si="19"/>
        <v>23148.14814814815</v>
      </c>
    </row>
    <row r="222" spans="1:7" x14ac:dyDescent="0.25">
      <c r="A222" s="2">
        <v>4</v>
      </c>
      <c r="B222" s="156">
        <f t="shared" si="16"/>
        <v>1929.0123456790125</v>
      </c>
      <c r="C222" s="156">
        <f t="shared" si="17"/>
        <v>19290.123456790123</v>
      </c>
      <c r="E222" s="2">
        <v>4</v>
      </c>
      <c r="F222" s="156">
        <f t="shared" si="18"/>
        <v>723.37962962962968</v>
      </c>
      <c r="G222" s="156">
        <f t="shared" si="19"/>
        <v>19290.123456790123</v>
      </c>
    </row>
    <row r="223" spans="1:7" x14ac:dyDescent="0.25">
      <c r="A223" s="2">
        <v>5</v>
      </c>
      <c r="B223" s="156">
        <f t="shared" si="16"/>
        <v>1286.008230452675</v>
      </c>
      <c r="C223" s="156">
        <f t="shared" si="17"/>
        <v>8037.5514403292182</v>
      </c>
      <c r="E223" s="2">
        <v>5</v>
      </c>
      <c r="F223" s="156">
        <f t="shared" si="18"/>
        <v>602.81635802469134</v>
      </c>
      <c r="G223" s="156">
        <f t="shared" si="19"/>
        <v>8037.5514403292182</v>
      </c>
    </row>
    <row r="224" spans="1:7" x14ac:dyDescent="0.25">
      <c r="A224" s="157" t="s">
        <v>136</v>
      </c>
      <c r="B224" s="156">
        <f>SUM(B218:B223)</f>
        <v>84974.27983539096</v>
      </c>
      <c r="C224" s="156">
        <f>SUM(C218:C223)</f>
        <v>94920.267489711943</v>
      </c>
      <c r="E224" s="157" t="s">
        <v>136</v>
      </c>
      <c r="F224" s="156">
        <f>SUM(F218:F223)</f>
        <v>99485.91820987656</v>
      </c>
      <c r="G224" s="156">
        <f>SUM(G218:G223)</f>
        <v>94920.267489711943</v>
      </c>
    </row>
    <row r="225" spans="2:7" x14ac:dyDescent="0.25">
      <c r="B225" s="157" t="s">
        <v>62</v>
      </c>
      <c r="C225" s="158">
        <f>C224/B224</f>
        <v>1.1170470367455656</v>
      </c>
      <c r="F225" s="157" t="s">
        <v>62</v>
      </c>
      <c r="G225" s="158">
        <f>G224/F224</f>
        <v>0.95410756816323627</v>
      </c>
    </row>
    <row r="226" spans="2:7" x14ac:dyDescent="0.25">
      <c r="C226" t="s">
        <v>170</v>
      </c>
      <c r="G226" t="s">
        <v>171</v>
      </c>
    </row>
  </sheetData>
  <mergeCells count="1">
    <mergeCell ref="E15:F15"/>
  </mergeCells>
  <pageMargins left="0.25" right="0.25" top="0.75" bottom="0.75" header="0.3" footer="0.3"/>
  <pageSetup paperSize="9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topLeftCell="A31" workbookViewId="0">
      <selection activeCell="B39" sqref="B39"/>
    </sheetView>
  </sheetViews>
  <sheetFormatPr baseColWidth="10" defaultRowHeight="15" x14ac:dyDescent="0.25"/>
  <cols>
    <col min="1" max="1" width="11.85546875" customWidth="1"/>
    <col min="2" max="2" width="16.5703125" customWidth="1"/>
    <col min="3" max="3" width="15" customWidth="1"/>
    <col min="4" max="4" width="14.42578125" customWidth="1"/>
    <col min="5" max="5" width="19" customWidth="1"/>
    <col min="6" max="6" width="13.140625" customWidth="1"/>
    <col min="8" max="8" width="13.140625" customWidth="1"/>
    <col min="9" max="9" width="7.140625" customWidth="1"/>
    <col min="10" max="10" width="11.7109375" customWidth="1"/>
  </cols>
  <sheetData>
    <row r="1" spans="1:9" x14ac:dyDescent="0.25">
      <c r="A1" s="271" t="s">
        <v>179</v>
      </c>
      <c r="B1" s="155"/>
    </row>
    <row r="2" spans="1:9" x14ac:dyDescent="0.25">
      <c r="A2" t="s">
        <v>172</v>
      </c>
    </row>
    <row r="3" spans="1:9" x14ac:dyDescent="0.25">
      <c r="A3" t="s">
        <v>173</v>
      </c>
    </row>
    <row r="4" spans="1:9" x14ac:dyDescent="0.25">
      <c r="A4" t="s">
        <v>174</v>
      </c>
    </row>
    <row r="6" spans="1:9" x14ac:dyDescent="0.25">
      <c r="B6" s="77" t="s">
        <v>69</v>
      </c>
    </row>
    <row r="7" spans="1:9" ht="45" x14ac:dyDescent="0.25">
      <c r="A7" s="70" t="s">
        <v>63</v>
      </c>
      <c r="B7" s="71" t="s">
        <v>76</v>
      </c>
      <c r="C7" s="70" t="s">
        <v>70</v>
      </c>
      <c r="D7" s="71" t="s">
        <v>71</v>
      </c>
      <c r="E7" s="71" t="s">
        <v>72</v>
      </c>
      <c r="F7" s="71" t="s">
        <v>64</v>
      </c>
    </row>
    <row r="8" spans="1:9" x14ac:dyDescent="0.25">
      <c r="A8" s="2">
        <v>1</v>
      </c>
      <c r="B8" s="7">
        <v>50000</v>
      </c>
      <c r="C8" s="7">
        <v>8926.2900000000009</v>
      </c>
      <c r="D8" s="7">
        <f t="shared" ref="D8:D13" si="0">B8*$H$8</f>
        <v>1000</v>
      </c>
      <c r="E8" s="7">
        <f t="shared" ref="E8:E13" si="1">C8-D8</f>
        <v>7926.2900000000009</v>
      </c>
      <c r="F8" s="7">
        <f>E8</f>
        <v>7926.2900000000009</v>
      </c>
      <c r="G8" s="72" t="s">
        <v>65</v>
      </c>
      <c r="H8" s="73">
        <v>0.02</v>
      </c>
      <c r="I8" s="72"/>
    </row>
    <row r="9" spans="1:9" x14ac:dyDescent="0.25">
      <c r="A9" s="2">
        <v>2</v>
      </c>
      <c r="B9" s="7">
        <f>B8-E8</f>
        <v>42073.71</v>
      </c>
      <c r="C9" s="7">
        <v>8926.2900000000009</v>
      </c>
      <c r="D9" s="7">
        <f t="shared" si="0"/>
        <v>841.4742</v>
      </c>
      <c r="E9" s="7">
        <f t="shared" si="1"/>
        <v>8084.8158000000012</v>
      </c>
      <c r="F9" s="7">
        <f>E8+E9</f>
        <v>16011.105800000001</v>
      </c>
      <c r="G9" s="72" t="s">
        <v>66</v>
      </c>
      <c r="H9" s="72">
        <v>6</v>
      </c>
      <c r="I9" s="72"/>
    </row>
    <row r="10" spans="1:9" x14ac:dyDescent="0.25">
      <c r="A10" s="2">
        <v>3</v>
      </c>
      <c r="B10" s="7">
        <f>B9-E9</f>
        <v>33988.894199999995</v>
      </c>
      <c r="C10" s="7">
        <v>8926.2900000000009</v>
      </c>
      <c r="D10" s="7">
        <f t="shared" si="0"/>
        <v>679.77788399999997</v>
      </c>
      <c r="E10" s="7">
        <f t="shared" si="1"/>
        <v>8246.5121160000017</v>
      </c>
      <c r="F10" s="7">
        <f>F9+E10</f>
        <v>24257.617916000003</v>
      </c>
      <c r="G10" s="72" t="s">
        <v>67</v>
      </c>
      <c r="H10" s="72" t="s">
        <v>68</v>
      </c>
      <c r="I10" s="72"/>
    </row>
    <row r="11" spans="1:9" x14ac:dyDescent="0.25">
      <c r="A11" s="91">
        <v>4</v>
      </c>
      <c r="B11" s="92">
        <f>B10-E10</f>
        <v>25742.382083999993</v>
      </c>
      <c r="C11" s="92">
        <v>8926.2900000000009</v>
      </c>
      <c r="D11" s="92">
        <f t="shared" si="0"/>
        <v>514.84764167999992</v>
      </c>
      <c r="E11" s="92">
        <f t="shared" si="1"/>
        <v>8411.4423583200005</v>
      </c>
      <c r="F11" s="92">
        <f t="shared" ref="F11:F12" si="2">F10+E11</f>
        <v>32669.060274320003</v>
      </c>
      <c r="G11" s="72" t="s">
        <v>97</v>
      </c>
      <c r="H11" s="87">
        <f>C8</f>
        <v>8926.2900000000009</v>
      </c>
      <c r="I11" s="72"/>
    </row>
    <row r="12" spans="1:9" x14ac:dyDescent="0.25">
      <c r="A12" s="2">
        <v>5</v>
      </c>
      <c r="B12" s="92">
        <f>B11-E11</f>
        <v>17330.939725679993</v>
      </c>
      <c r="C12" s="7">
        <v>8926.2900000000009</v>
      </c>
      <c r="D12" s="7">
        <f t="shared" si="0"/>
        <v>346.61879451359988</v>
      </c>
      <c r="E12" s="7">
        <f t="shared" si="1"/>
        <v>8579.6712054864001</v>
      </c>
      <c r="F12" s="7">
        <f t="shared" si="2"/>
        <v>41248.731479806404</v>
      </c>
      <c r="G12" s="76" t="s">
        <v>75</v>
      </c>
      <c r="H12" s="76"/>
    </row>
    <row r="13" spans="1:9" ht="15" customHeight="1" x14ac:dyDescent="0.25">
      <c r="A13" s="2">
        <v>6</v>
      </c>
      <c r="B13" s="7">
        <f>B12-E12</f>
        <v>8751.2685201935928</v>
      </c>
      <c r="C13" s="7">
        <v>8926.2900000000009</v>
      </c>
      <c r="D13" s="7">
        <f t="shared" si="0"/>
        <v>175.02537040387185</v>
      </c>
      <c r="E13" s="7">
        <f t="shared" si="1"/>
        <v>8751.2646295961295</v>
      </c>
      <c r="F13" s="75">
        <f>F12+E13</f>
        <v>49999.996109402535</v>
      </c>
      <c r="G13" s="76" t="s">
        <v>73</v>
      </c>
      <c r="H13" s="76"/>
    </row>
    <row r="14" spans="1:9" x14ac:dyDescent="0.25">
      <c r="A14" s="2"/>
      <c r="B14" s="7"/>
      <c r="C14" s="7"/>
      <c r="D14" s="7"/>
      <c r="E14" s="75">
        <f>SUM(E8:E13)</f>
        <v>49999.996109402535</v>
      </c>
      <c r="F14" s="7"/>
      <c r="G14" s="76" t="s">
        <v>74</v>
      </c>
      <c r="H14" s="76"/>
    </row>
    <row r="17" spans="1:8" x14ac:dyDescent="0.25">
      <c r="B17" s="79" t="s">
        <v>77</v>
      </c>
      <c r="C17" s="79"/>
      <c r="D17" s="79"/>
      <c r="E17" s="79"/>
      <c r="F17" s="80"/>
      <c r="G17" s="80"/>
      <c r="H17" s="78">
        <f>C11+B12</f>
        <v>26257.229725679994</v>
      </c>
    </row>
    <row r="30" spans="1:8" x14ac:dyDescent="0.25">
      <c r="A30" s="81" t="s">
        <v>78</v>
      </c>
    </row>
    <row r="31" spans="1:8" ht="15.75" x14ac:dyDescent="0.25">
      <c r="A31" s="216" t="s">
        <v>175</v>
      </c>
      <c r="B31" s="216"/>
      <c r="C31" s="216"/>
      <c r="D31" s="216"/>
      <c r="E31" s="216"/>
      <c r="F31" s="216"/>
    </row>
    <row r="32" spans="1:8" ht="15.75" x14ac:dyDescent="0.25">
      <c r="A32" s="216" t="s">
        <v>176</v>
      </c>
      <c r="B32" s="216"/>
      <c r="C32" s="216"/>
      <c r="D32" s="216"/>
      <c r="E32" s="216"/>
      <c r="F32" s="216"/>
    </row>
    <row r="33" spans="1:13" ht="15.75" x14ac:dyDescent="0.25">
      <c r="A33" s="216" t="s">
        <v>177</v>
      </c>
      <c r="B33" s="216"/>
      <c r="C33" s="216"/>
      <c r="D33" s="216"/>
      <c r="E33" s="216"/>
      <c r="F33" s="216"/>
    </row>
    <row r="34" spans="1:13" ht="15.75" x14ac:dyDescent="0.25">
      <c r="A34" s="216" t="s">
        <v>178</v>
      </c>
      <c r="B34" s="216"/>
      <c r="C34" s="216"/>
      <c r="D34" s="216"/>
      <c r="E34" s="216"/>
      <c r="F34" s="216"/>
    </row>
    <row r="36" spans="1:13" x14ac:dyDescent="0.25">
      <c r="B36" s="77" t="s">
        <v>79</v>
      </c>
    </row>
    <row r="37" spans="1:13" ht="45.75" thickBot="1" x14ac:dyDescent="0.3">
      <c r="A37" s="70" t="s">
        <v>63</v>
      </c>
      <c r="B37" s="71" t="s">
        <v>76</v>
      </c>
      <c r="C37" s="71" t="s">
        <v>113</v>
      </c>
      <c r="D37" s="71" t="s">
        <v>71</v>
      </c>
      <c r="E37" s="71" t="s">
        <v>188</v>
      </c>
      <c r="F37" s="71" t="s">
        <v>64</v>
      </c>
      <c r="L37" s="282"/>
      <c r="M37" s="282"/>
    </row>
    <row r="38" spans="1:13" x14ac:dyDescent="0.25">
      <c r="A38" s="2">
        <v>1</v>
      </c>
      <c r="B38" s="7">
        <f>J38</f>
        <v>50000</v>
      </c>
      <c r="C38" s="7">
        <f>E38+D38</f>
        <v>9333.3333333333339</v>
      </c>
      <c r="D38" s="7">
        <f t="shared" ref="D38:D43" si="3">B38*$J$40</f>
        <v>1000</v>
      </c>
      <c r="E38" s="7">
        <f t="shared" ref="E38:E43" si="4">$H$39</f>
        <v>8333.3333333333339</v>
      </c>
      <c r="F38" s="7">
        <f>E38</f>
        <v>8333.3333333333339</v>
      </c>
      <c r="G38" s="259" t="s">
        <v>80</v>
      </c>
      <c r="H38" s="260" t="s">
        <v>81</v>
      </c>
      <c r="I38" s="261" t="s">
        <v>82</v>
      </c>
      <c r="J38" s="262">
        <v>50000</v>
      </c>
      <c r="L38" s="282"/>
      <c r="M38" s="282"/>
    </row>
    <row r="39" spans="1:13" x14ac:dyDescent="0.25">
      <c r="A39" s="2">
        <v>2</v>
      </c>
      <c r="B39" s="7">
        <f t="shared" ref="B39:B44" si="5">B38-E38</f>
        <v>41666.666666666664</v>
      </c>
      <c r="C39" s="7">
        <f>E39+D39</f>
        <v>9166.6666666666679</v>
      </c>
      <c r="D39" s="7">
        <f t="shared" si="3"/>
        <v>833.33333333333326</v>
      </c>
      <c r="E39" s="7">
        <f t="shared" si="4"/>
        <v>8333.3333333333339</v>
      </c>
      <c r="F39" s="7">
        <f>E38+E39</f>
        <v>16666.666666666668</v>
      </c>
      <c r="G39" s="263" t="s">
        <v>80</v>
      </c>
      <c r="H39" s="264">
        <f>J38/J39</f>
        <v>8333.3333333333339</v>
      </c>
      <c r="I39" s="265" t="s">
        <v>83</v>
      </c>
      <c r="J39" s="266">
        <v>6</v>
      </c>
      <c r="L39" s="282"/>
      <c r="M39" s="282"/>
    </row>
    <row r="40" spans="1:13" ht="15.75" thickBot="1" x14ac:dyDescent="0.3">
      <c r="A40" s="2">
        <v>3</v>
      </c>
      <c r="B40" s="7">
        <f t="shared" si="5"/>
        <v>33333.333333333328</v>
      </c>
      <c r="C40" s="7">
        <f t="shared" ref="C40:C43" si="6">E40+D40</f>
        <v>9000</v>
      </c>
      <c r="D40" s="7">
        <f t="shared" si="3"/>
        <v>666.66666666666663</v>
      </c>
      <c r="E40" s="7">
        <f t="shared" si="4"/>
        <v>8333.3333333333339</v>
      </c>
      <c r="F40" s="7">
        <f>F39+E40</f>
        <v>25000</v>
      </c>
      <c r="G40" s="267"/>
      <c r="H40" s="268"/>
      <c r="I40" s="269" t="s">
        <v>86</v>
      </c>
      <c r="J40" s="270">
        <v>0.02</v>
      </c>
      <c r="L40" s="252"/>
      <c r="M40" s="252"/>
    </row>
    <row r="41" spans="1:13" x14ac:dyDescent="0.25">
      <c r="A41" s="91">
        <v>4</v>
      </c>
      <c r="B41" s="92">
        <f t="shared" si="5"/>
        <v>24999.999999999993</v>
      </c>
      <c r="C41" s="92">
        <f t="shared" si="6"/>
        <v>8833.3333333333339</v>
      </c>
      <c r="D41" s="92">
        <f t="shared" si="3"/>
        <v>499.99999999999989</v>
      </c>
      <c r="E41" s="92">
        <f t="shared" si="4"/>
        <v>8333.3333333333339</v>
      </c>
      <c r="F41" s="92">
        <f t="shared" ref="F41:F43" si="7">F40+E41</f>
        <v>33333.333333333336</v>
      </c>
      <c r="L41" s="252"/>
      <c r="M41" s="252"/>
    </row>
    <row r="42" spans="1:13" x14ac:dyDescent="0.25">
      <c r="A42" s="2">
        <v>5</v>
      </c>
      <c r="B42" s="92">
        <f t="shared" si="5"/>
        <v>16666.666666666657</v>
      </c>
      <c r="C42" s="7">
        <f t="shared" si="6"/>
        <v>8666.6666666666679</v>
      </c>
      <c r="D42" s="7">
        <f t="shared" si="3"/>
        <v>333.33333333333314</v>
      </c>
      <c r="E42" s="7">
        <f t="shared" si="4"/>
        <v>8333.3333333333339</v>
      </c>
      <c r="F42" s="7">
        <f t="shared" si="7"/>
        <v>41666.666666666672</v>
      </c>
      <c r="G42" s="60" t="s">
        <v>84</v>
      </c>
      <c r="H42" s="60"/>
    </row>
    <row r="43" spans="1:13" x14ac:dyDescent="0.25">
      <c r="A43" s="2">
        <v>6</v>
      </c>
      <c r="B43" s="7">
        <f t="shared" si="5"/>
        <v>8333.333333333323</v>
      </c>
      <c r="C43" s="7">
        <f t="shared" si="6"/>
        <v>8500</v>
      </c>
      <c r="D43" s="7">
        <f t="shared" si="3"/>
        <v>166.66666666666646</v>
      </c>
      <c r="E43" s="7">
        <f t="shared" si="4"/>
        <v>8333.3333333333339</v>
      </c>
      <c r="F43" s="75">
        <f t="shared" si="7"/>
        <v>50000.000000000007</v>
      </c>
      <c r="G43" s="60" t="s">
        <v>73</v>
      </c>
      <c r="H43" s="60"/>
    </row>
    <row r="44" spans="1:13" x14ac:dyDescent="0.25">
      <c r="A44" s="2"/>
      <c r="B44" s="7">
        <f t="shared" si="5"/>
        <v>0</v>
      </c>
      <c r="C44" s="7"/>
      <c r="D44" s="7"/>
      <c r="E44" s="75">
        <f>SUM(E38:E43)</f>
        <v>50000.000000000007</v>
      </c>
      <c r="F44" s="7"/>
      <c r="G44" s="60" t="s">
        <v>85</v>
      </c>
      <c r="H44" s="60"/>
    </row>
    <row r="46" spans="1:13" x14ac:dyDescent="0.25">
      <c r="B46" s="79" t="s">
        <v>77</v>
      </c>
      <c r="C46" s="79"/>
      <c r="D46" s="79"/>
      <c r="E46" s="79"/>
      <c r="F46" s="80"/>
      <c r="G46" s="80"/>
      <c r="H46" s="78">
        <f>C41+B42</f>
        <v>25499.999999999993</v>
      </c>
    </row>
    <row r="48" spans="1:13" x14ac:dyDescent="0.25">
      <c r="A48" s="79" t="s">
        <v>190</v>
      </c>
      <c r="B48" s="79"/>
      <c r="C48" s="79"/>
      <c r="D48" s="79"/>
      <c r="E48" s="79"/>
      <c r="F48" s="79"/>
      <c r="G48" s="79"/>
      <c r="H48" s="79"/>
      <c r="I48" s="282"/>
      <c r="J48" s="282"/>
      <c r="K48" s="282"/>
    </row>
    <row r="49" spans="1:11" x14ac:dyDescent="0.25">
      <c r="A49" s="79" t="s">
        <v>191</v>
      </c>
      <c r="B49" s="79"/>
      <c r="C49" s="79"/>
      <c r="D49" s="79"/>
      <c r="E49" s="79"/>
      <c r="F49" s="79"/>
      <c r="G49" s="79"/>
      <c r="H49" s="79"/>
      <c r="I49" s="282"/>
      <c r="J49" s="282"/>
      <c r="K49" s="282"/>
    </row>
    <row r="50" spans="1:11" x14ac:dyDescent="0.25">
      <c r="A50" s="79" t="s">
        <v>192</v>
      </c>
      <c r="B50" s="79"/>
      <c r="C50" s="79"/>
      <c r="D50" s="79"/>
      <c r="E50" s="79"/>
      <c r="F50" s="79"/>
      <c r="G50" s="79"/>
      <c r="H50" s="79"/>
      <c r="I50" s="282"/>
      <c r="J50" s="282"/>
      <c r="K50" s="282"/>
    </row>
    <row r="51" spans="1:11" x14ac:dyDescent="0.25">
      <c r="A51" s="79" t="s">
        <v>193</v>
      </c>
      <c r="B51" s="80"/>
      <c r="C51" s="80"/>
      <c r="D51" s="80"/>
      <c r="E51" s="80"/>
      <c r="F51" s="80"/>
      <c r="G51" s="80"/>
      <c r="H51" s="80"/>
      <c r="I51" s="252"/>
      <c r="J51" s="252"/>
      <c r="K51" s="252"/>
    </row>
    <row r="52" spans="1:11" x14ac:dyDescent="0.25">
      <c r="I52" s="252"/>
      <c r="J52" s="252"/>
      <c r="K52" s="252"/>
    </row>
    <row r="63" spans="1:11" x14ac:dyDescent="0.25">
      <c r="A63" s="81" t="s">
        <v>87</v>
      </c>
    </row>
    <row r="64" spans="1:11" ht="15.75" x14ac:dyDescent="0.25">
      <c r="A64" s="216" t="s">
        <v>180</v>
      </c>
      <c r="B64" s="216"/>
      <c r="C64" s="216"/>
      <c r="D64" s="216"/>
      <c r="E64" s="216"/>
    </row>
    <row r="65" spans="1:9" ht="15.75" x14ac:dyDescent="0.25">
      <c r="A65" s="216" t="s">
        <v>181</v>
      </c>
      <c r="B65" s="216"/>
      <c r="C65" s="216"/>
      <c r="D65" s="216"/>
      <c r="E65" s="216"/>
    </row>
    <row r="66" spans="1:9" ht="15.75" x14ac:dyDescent="0.25">
      <c r="A66" s="216" t="s">
        <v>182</v>
      </c>
      <c r="B66" s="216"/>
      <c r="C66" s="216"/>
      <c r="D66" s="216"/>
      <c r="E66" s="216"/>
    </row>
    <row r="68" spans="1:9" x14ac:dyDescent="0.25">
      <c r="B68" s="77" t="s">
        <v>69</v>
      </c>
    </row>
    <row r="69" spans="1:9" ht="45" x14ac:dyDescent="0.25">
      <c r="A69" s="70" t="s">
        <v>63</v>
      </c>
      <c r="B69" s="71" t="s">
        <v>76</v>
      </c>
      <c r="C69" s="70" t="s">
        <v>70</v>
      </c>
      <c r="D69" s="71" t="s">
        <v>91</v>
      </c>
      <c r="E69" s="71" t="s">
        <v>92</v>
      </c>
      <c r="F69" s="71" t="s">
        <v>64</v>
      </c>
    </row>
    <row r="70" spans="1:9" x14ac:dyDescent="0.25">
      <c r="A70" s="2">
        <v>1</v>
      </c>
      <c r="B70" s="7">
        <f>I73</f>
        <v>85000</v>
      </c>
      <c r="C70" s="90">
        <f t="shared" ref="C70:C77" si="8">$I$71</f>
        <v>17110.740000000002</v>
      </c>
      <c r="D70" s="7">
        <f t="shared" ref="D70:D77" si="9">B70*$I$70</f>
        <v>10200</v>
      </c>
      <c r="E70" s="7">
        <f t="shared" ref="E70:E77" si="10">C70-D70</f>
        <v>6910.7400000000016</v>
      </c>
      <c r="F70" s="7">
        <f>E70</f>
        <v>6910.7400000000016</v>
      </c>
      <c r="H70" s="72" t="s">
        <v>88</v>
      </c>
      <c r="I70" s="73">
        <v>0.12</v>
      </c>
    </row>
    <row r="71" spans="1:9" x14ac:dyDescent="0.25">
      <c r="A71" s="2">
        <v>2</v>
      </c>
      <c r="B71" s="7">
        <f t="shared" ref="B71:B77" si="11">B70-E70</f>
        <v>78089.259999999995</v>
      </c>
      <c r="C71" s="90">
        <f t="shared" si="8"/>
        <v>17110.740000000002</v>
      </c>
      <c r="D71" s="7">
        <f t="shared" si="9"/>
        <v>9370.7111999999997</v>
      </c>
      <c r="E71" s="7">
        <f t="shared" si="10"/>
        <v>7740.0288000000019</v>
      </c>
      <c r="F71" s="7">
        <f>F70+E71</f>
        <v>14650.768800000003</v>
      </c>
      <c r="H71" s="72" t="s">
        <v>89</v>
      </c>
      <c r="I71" s="72">
        <f>17110.74</f>
        <v>17110.740000000002</v>
      </c>
    </row>
    <row r="72" spans="1:9" x14ac:dyDescent="0.25">
      <c r="A72" s="2">
        <v>3</v>
      </c>
      <c r="B72" s="7">
        <f t="shared" si="11"/>
        <v>70349.231199999995</v>
      </c>
      <c r="C72" s="90">
        <f t="shared" si="8"/>
        <v>17110.740000000002</v>
      </c>
      <c r="D72" s="7">
        <f t="shared" si="9"/>
        <v>8441.9077439999983</v>
      </c>
      <c r="E72" s="7">
        <f t="shared" si="10"/>
        <v>8668.8322560000033</v>
      </c>
      <c r="F72" s="7">
        <f>F71+E72</f>
        <v>23319.601056000007</v>
      </c>
      <c r="H72" s="72" t="s">
        <v>5</v>
      </c>
      <c r="I72" s="72">
        <v>8</v>
      </c>
    </row>
    <row r="73" spans="1:9" x14ac:dyDescent="0.25">
      <c r="A73" s="91">
        <v>4</v>
      </c>
      <c r="B73" s="92">
        <f t="shared" si="11"/>
        <v>61680.398943999993</v>
      </c>
      <c r="C73" s="92">
        <f t="shared" si="8"/>
        <v>17110.740000000002</v>
      </c>
      <c r="D73" s="92">
        <f t="shared" si="9"/>
        <v>7401.6478732799987</v>
      </c>
      <c r="E73" s="92">
        <f t="shared" si="10"/>
        <v>9709.0921267200029</v>
      </c>
      <c r="F73" s="92">
        <f>F72+E73</f>
        <v>33028.69318272001</v>
      </c>
      <c r="H73" s="72" t="s">
        <v>90</v>
      </c>
      <c r="I73" s="72">
        <f>85000</f>
        <v>85000</v>
      </c>
    </row>
    <row r="74" spans="1:9" x14ac:dyDescent="0.25">
      <c r="A74" s="85">
        <v>5</v>
      </c>
      <c r="B74" s="7">
        <f t="shared" si="11"/>
        <v>51971.30681727999</v>
      </c>
      <c r="C74" s="90">
        <f t="shared" si="8"/>
        <v>17110.740000000002</v>
      </c>
      <c r="D74" s="7">
        <f t="shared" si="9"/>
        <v>6236.5568180735991</v>
      </c>
      <c r="E74" s="7">
        <f t="shared" si="10"/>
        <v>10874.183181926403</v>
      </c>
      <c r="F74" s="7">
        <f t="shared" ref="F74:F77" si="12">F73+E74</f>
        <v>43902.876364646414</v>
      </c>
    </row>
    <row r="75" spans="1:9" x14ac:dyDescent="0.25">
      <c r="A75" s="85">
        <v>6</v>
      </c>
      <c r="B75" s="7">
        <f t="shared" si="11"/>
        <v>41097.123635353586</v>
      </c>
      <c r="C75" s="90">
        <f t="shared" si="8"/>
        <v>17110.740000000002</v>
      </c>
      <c r="D75" s="7">
        <f t="shared" si="9"/>
        <v>4931.6548362424301</v>
      </c>
      <c r="E75" s="7">
        <f t="shared" si="10"/>
        <v>12179.085163757572</v>
      </c>
      <c r="F75" s="7">
        <f t="shared" si="12"/>
        <v>56081.96152840399</v>
      </c>
      <c r="G75" s="76" t="s">
        <v>75</v>
      </c>
      <c r="H75" s="76"/>
    </row>
    <row r="76" spans="1:9" x14ac:dyDescent="0.25">
      <c r="A76" s="85">
        <v>7</v>
      </c>
      <c r="B76" s="7">
        <f t="shared" si="11"/>
        <v>28918.038471596014</v>
      </c>
      <c r="C76" s="90">
        <f t="shared" si="8"/>
        <v>17110.740000000002</v>
      </c>
      <c r="D76" s="7">
        <f t="shared" si="9"/>
        <v>3470.1646165915213</v>
      </c>
      <c r="E76" s="7">
        <f t="shared" si="10"/>
        <v>13640.575383408481</v>
      </c>
      <c r="F76" s="7">
        <f t="shared" si="12"/>
        <v>69722.536911812465</v>
      </c>
      <c r="G76" s="76" t="s">
        <v>73</v>
      </c>
      <c r="H76" s="76"/>
    </row>
    <row r="77" spans="1:9" x14ac:dyDescent="0.25">
      <c r="A77" s="85">
        <v>8</v>
      </c>
      <c r="B77" s="7">
        <f t="shared" si="11"/>
        <v>15277.463088187533</v>
      </c>
      <c r="C77" s="90">
        <f t="shared" si="8"/>
        <v>17110.740000000002</v>
      </c>
      <c r="D77" s="7">
        <f t="shared" si="9"/>
        <v>1833.2955705825038</v>
      </c>
      <c r="E77" s="7">
        <f t="shared" si="10"/>
        <v>15277.444429417497</v>
      </c>
      <c r="F77" s="273">
        <f t="shared" si="12"/>
        <v>84999.981341229955</v>
      </c>
      <c r="G77" s="76" t="s">
        <v>74</v>
      </c>
      <c r="H77" s="76"/>
    </row>
    <row r="78" spans="1:9" x14ac:dyDescent="0.25">
      <c r="A78" s="6" t="s">
        <v>136</v>
      </c>
      <c r="B78" s="2"/>
      <c r="C78" s="48">
        <f>SUM(C70:C77)</f>
        <v>136885.92000000001</v>
      </c>
      <c r="D78" s="6"/>
      <c r="E78" s="272">
        <f>SUM(E70:E77)</f>
        <v>84999.981341229955</v>
      </c>
      <c r="F78" s="2"/>
    </row>
    <row r="80" spans="1:9" x14ac:dyDescent="0.25">
      <c r="A80" s="258" t="s">
        <v>93</v>
      </c>
      <c r="B80" s="80"/>
      <c r="C80" s="80"/>
    </row>
    <row r="81" spans="1:11" x14ac:dyDescent="0.25">
      <c r="A81" s="80"/>
      <c r="B81" s="80" t="s">
        <v>94</v>
      </c>
      <c r="C81" s="93">
        <f>D73</f>
        <v>7401.6478732799987</v>
      </c>
    </row>
    <row r="82" spans="1:11" x14ac:dyDescent="0.25">
      <c r="A82" s="80"/>
      <c r="B82" s="80" t="s">
        <v>95</v>
      </c>
      <c r="C82" s="93">
        <f>E73</f>
        <v>9709.0921267200029</v>
      </c>
    </row>
    <row r="83" spans="1:11" x14ac:dyDescent="0.25">
      <c r="A83" s="80"/>
      <c r="B83" s="80" t="s">
        <v>96</v>
      </c>
      <c r="C83" s="93">
        <f>F73</f>
        <v>33028.69318272001</v>
      </c>
      <c r="D83" t="s">
        <v>183</v>
      </c>
    </row>
    <row r="90" spans="1:11" x14ac:dyDescent="0.25">
      <c r="K90" s="10"/>
    </row>
    <row r="91" spans="1:11" x14ac:dyDescent="0.25">
      <c r="K91" s="279"/>
    </row>
    <row r="92" spans="1:11" x14ac:dyDescent="0.25">
      <c r="K92" s="279"/>
    </row>
    <row r="93" spans="1:11" x14ac:dyDescent="0.25">
      <c r="K93" s="280"/>
    </row>
    <row r="94" spans="1:11" x14ac:dyDescent="0.25">
      <c r="A94" s="271" t="s">
        <v>184</v>
      </c>
      <c r="K94" s="10"/>
    </row>
    <row r="95" spans="1:11" ht="15.75" x14ac:dyDescent="0.25">
      <c r="A95" s="274" t="s">
        <v>185</v>
      </c>
      <c r="B95" s="274"/>
      <c r="C95" s="274"/>
      <c r="D95" s="274"/>
      <c r="E95" s="274"/>
      <c r="K95" s="10"/>
    </row>
    <row r="96" spans="1:11" ht="15.75" x14ac:dyDescent="0.25">
      <c r="A96" s="274" t="s">
        <v>186</v>
      </c>
      <c r="B96" s="274"/>
      <c r="C96" s="274"/>
      <c r="D96" s="274"/>
      <c r="E96" s="274"/>
    </row>
    <row r="98" spans="1:10" x14ac:dyDescent="0.25">
      <c r="B98" s="77" t="s">
        <v>79</v>
      </c>
    </row>
    <row r="99" spans="1:10" ht="45" x14ac:dyDescent="0.25">
      <c r="A99" s="70" t="s">
        <v>63</v>
      </c>
      <c r="B99" s="71" t="s">
        <v>76</v>
      </c>
      <c r="C99" s="71" t="s">
        <v>189</v>
      </c>
      <c r="D99" s="71" t="s">
        <v>91</v>
      </c>
      <c r="E99" s="71" t="s">
        <v>187</v>
      </c>
      <c r="F99" s="71" t="s">
        <v>64</v>
      </c>
    </row>
    <row r="100" spans="1:10" x14ac:dyDescent="0.25">
      <c r="A100" s="2">
        <v>1</v>
      </c>
      <c r="B100" s="7">
        <f>I102</f>
        <v>85000</v>
      </c>
      <c r="C100" s="86">
        <f>E100+D100</f>
        <v>20825</v>
      </c>
      <c r="D100" s="7">
        <f t="shared" ref="D100:D107" si="13">B100*$I$100</f>
        <v>10200</v>
      </c>
      <c r="E100" s="7">
        <f t="shared" ref="E100:E107" si="14">$I$104</f>
        <v>10625</v>
      </c>
      <c r="F100" s="7">
        <f>E100</f>
        <v>10625</v>
      </c>
      <c r="H100" s="72" t="s">
        <v>88</v>
      </c>
      <c r="I100" s="73">
        <v>0.12</v>
      </c>
    </row>
    <row r="101" spans="1:10" x14ac:dyDescent="0.25">
      <c r="A101" s="2">
        <v>2</v>
      </c>
      <c r="B101" s="7">
        <f>B100-E100</f>
        <v>74375</v>
      </c>
      <c r="C101" s="86">
        <f t="shared" ref="C101:C107" si="15">E101+D101</f>
        <v>19550</v>
      </c>
      <c r="D101" s="7">
        <f t="shared" si="13"/>
        <v>8925</v>
      </c>
      <c r="E101" s="7">
        <f t="shared" si="14"/>
        <v>10625</v>
      </c>
      <c r="F101" s="7">
        <f>F100+E101</f>
        <v>21250</v>
      </c>
      <c r="H101" s="72" t="s">
        <v>5</v>
      </c>
      <c r="I101" s="72">
        <v>8</v>
      </c>
    </row>
    <row r="102" spans="1:10" ht="15.75" thickBot="1" x14ac:dyDescent="0.3">
      <c r="A102" s="2">
        <v>3</v>
      </c>
      <c r="B102" s="7">
        <f t="shared" ref="B102:B107" si="16">B101-E101</f>
        <v>63750</v>
      </c>
      <c r="C102" s="86">
        <f t="shared" si="15"/>
        <v>18275</v>
      </c>
      <c r="D102" s="7">
        <f t="shared" si="13"/>
        <v>7650</v>
      </c>
      <c r="E102" s="7">
        <f t="shared" si="14"/>
        <v>10625</v>
      </c>
      <c r="F102" s="7">
        <f>F101+E102</f>
        <v>31875</v>
      </c>
      <c r="H102" s="72" t="s">
        <v>90</v>
      </c>
      <c r="I102" s="72">
        <f>85000</f>
        <v>85000</v>
      </c>
    </row>
    <row r="103" spans="1:10" x14ac:dyDescent="0.25">
      <c r="A103" s="85">
        <v>4</v>
      </c>
      <c r="B103" s="86">
        <f t="shared" si="16"/>
        <v>53125</v>
      </c>
      <c r="C103" s="86">
        <f t="shared" si="15"/>
        <v>17000</v>
      </c>
      <c r="D103" s="7">
        <f t="shared" si="13"/>
        <v>6375</v>
      </c>
      <c r="E103" s="86">
        <f t="shared" si="14"/>
        <v>10625</v>
      </c>
      <c r="F103" s="86">
        <f>F102+E103</f>
        <v>42500</v>
      </c>
      <c r="H103" s="259" t="s">
        <v>80</v>
      </c>
      <c r="I103" s="275" t="s">
        <v>81</v>
      </c>
    </row>
    <row r="104" spans="1:10" ht="15.75" thickBot="1" x14ac:dyDescent="0.3">
      <c r="A104" s="85">
        <v>5</v>
      </c>
      <c r="B104" s="7">
        <f t="shared" si="16"/>
        <v>42500</v>
      </c>
      <c r="C104" s="86">
        <f t="shared" si="15"/>
        <v>15725</v>
      </c>
      <c r="D104" s="7">
        <f t="shared" si="13"/>
        <v>5100</v>
      </c>
      <c r="E104" s="7">
        <f t="shared" si="14"/>
        <v>10625</v>
      </c>
      <c r="F104" s="7">
        <f t="shared" ref="F104:F107" si="17">F103+E104</f>
        <v>53125</v>
      </c>
      <c r="H104" s="276" t="s">
        <v>80</v>
      </c>
      <c r="I104" s="277">
        <f>I102/I101</f>
        <v>10625</v>
      </c>
    </row>
    <row r="105" spans="1:10" x14ac:dyDescent="0.25">
      <c r="A105" s="251">
        <v>6</v>
      </c>
      <c r="B105" s="281">
        <f t="shared" si="16"/>
        <v>31875</v>
      </c>
      <c r="C105" s="281">
        <f t="shared" si="15"/>
        <v>14450</v>
      </c>
      <c r="D105" s="281">
        <f t="shared" si="13"/>
        <v>3825</v>
      </c>
      <c r="E105" s="281">
        <f t="shared" si="14"/>
        <v>10625</v>
      </c>
      <c r="F105" s="281">
        <f t="shared" si="17"/>
        <v>63750</v>
      </c>
    </row>
    <row r="106" spans="1:10" x14ac:dyDescent="0.25">
      <c r="A106" s="85">
        <v>7</v>
      </c>
      <c r="B106" s="7">
        <f t="shared" si="16"/>
        <v>21250</v>
      </c>
      <c r="C106" s="86">
        <f t="shared" si="15"/>
        <v>13175</v>
      </c>
      <c r="D106" s="7">
        <f t="shared" si="13"/>
        <v>2550</v>
      </c>
      <c r="E106" s="7">
        <f t="shared" si="14"/>
        <v>10625</v>
      </c>
      <c r="F106" s="7">
        <f t="shared" si="17"/>
        <v>74375</v>
      </c>
      <c r="G106" s="60" t="s">
        <v>84</v>
      </c>
      <c r="H106" s="60"/>
    </row>
    <row r="107" spans="1:10" x14ac:dyDescent="0.25">
      <c r="A107" s="85">
        <v>8</v>
      </c>
      <c r="B107" s="7">
        <f t="shared" si="16"/>
        <v>10625</v>
      </c>
      <c r="C107" s="86">
        <f t="shared" si="15"/>
        <v>11900</v>
      </c>
      <c r="D107" s="7">
        <f t="shared" si="13"/>
        <v>1275</v>
      </c>
      <c r="E107" s="7">
        <f t="shared" si="14"/>
        <v>10625</v>
      </c>
      <c r="F107" s="273">
        <f t="shared" si="17"/>
        <v>85000</v>
      </c>
      <c r="G107" s="60" t="s">
        <v>73</v>
      </c>
      <c r="H107" s="60"/>
    </row>
    <row r="108" spans="1:10" x14ac:dyDescent="0.25">
      <c r="A108" s="6" t="s">
        <v>136</v>
      </c>
      <c r="B108" s="2"/>
      <c r="C108" s="48">
        <f>SUM(C100:C107)</f>
        <v>130900</v>
      </c>
      <c r="D108" s="6"/>
      <c r="E108" s="272">
        <f>SUM(E100:E107)</f>
        <v>85000</v>
      </c>
      <c r="F108" s="2"/>
      <c r="G108" s="60" t="s">
        <v>85</v>
      </c>
      <c r="H108" s="60"/>
    </row>
    <row r="109" spans="1:10" x14ac:dyDescent="0.25">
      <c r="H109" s="10"/>
      <c r="I109" s="10"/>
      <c r="J109" s="10"/>
    </row>
    <row r="110" spans="1:10" x14ac:dyDescent="0.25">
      <c r="H110" s="108"/>
      <c r="I110" s="108"/>
      <c r="J110" s="278"/>
    </row>
    <row r="111" spans="1:10" x14ac:dyDescent="0.25">
      <c r="H111" s="108"/>
      <c r="I111" s="108"/>
      <c r="J111" s="278"/>
    </row>
    <row r="112" spans="1:10" x14ac:dyDescent="0.25">
      <c r="H112" s="108"/>
      <c r="I112" s="108"/>
      <c r="J112" s="278"/>
    </row>
    <row r="113" spans="8:10" x14ac:dyDescent="0.25">
      <c r="H113" s="10"/>
      <c r="I113" s="10"/>
      <c r="J113" s="10"/>
    </row>
    <row r="114" spans="8:10" x14ac:dyDescent="0.25">
      <c r="H114" s="10"/>
      <c r="I114" s="10"/>
      <c r="J114" s="10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"/>
  <sheetViews>
    <sheetView topLeftCell="A82" zoomScaleNormal="100" workbookViewId="0">
      <selection activeCell="G89" sqref="G89:H91"/>
    </sheetView>
  </sheetViews>
  <sheetFormatPr baseColWidth="10" defaultRowHeight="15" x14ac:dyDescent="0.25"/>
  <cols>
    <col min="1" max="1" width="18.7109375" customWidth="1"/>
    <col min="2" max="2" width="16.28515625" customWidth="1"/>
    <col min="3" max="3" width="15.42578125" customWidth="1"/>
    <col min="4" max="4" width="15.7109375" customWidth="1"/>
    <col min="5" max="5" width="17.42578125" customWidth="1"/>
    <col min="6" max="6" width="16.42578125" customWidth="1"/>
    <col min="7" max="7" width="15.5703125" bestFit="1" customWidth="1"/>
    <col min="8" max="8" width="16.7109375" bestFit="1" customWidth="1"/>
    <col min="9" max="9" width="16.85546875" customWidth="1"/>
    <col min="10" max="10" width="15.140625" customWidth="1"/>
    <col min="11" max="11" width="14.85546875" customWidth="1"/>
    <col min="12" max="12" width="14.5703125" bestFit="1" customWidth="1"/>
  </cols>
  <sheetData>
    <row r="1" spans="1:7" x14ac:dyDescent="0.25">
      <c r="A1" s="81" t="s">
        <v>104</v>
      </c>
    </row>
    <row r="2" spans="1:7" ht="15.75" thickBot="1" x14ac:dyDescent="0.3"/>
    <row r="3" spans="1:7" x14ac:dyDescent="0.25">
      <c r="A3" s="94" t="s">
        <v>42</v>
      </c>
      <c r="B3" s="95" t="s">
        <v>101</v>
      </c>
      <c r="C3" s="95" t="s">
        <v>36</v>
      </c>
      <c r="D3" s="95" t="s">
        <v>37</v>
      </c>
      <c r="F3" s="283" t="s">
        <v>35</v>
      </c>
      <c r="G3" s="286">
        <v>1200000</v>
      </c>
    </row>
    <row r="4" spans="1:7" x14ac:dyDescent="0.25">
      <c r="A4" s="41">
        <v>1</v>
      </c>
      <c r="B4" s="2">
        <f>G3</f>
        <v>1200000</v>
      </c>
      <c r="C4" s="23">
        <f>$G$4</f>
        <v>150000</v>
      </c>
      <c r="D4" s="2"/>
      <c r="F4" s="284" t="s">
        <v>98</v>
      </c>
      <c r="G4" s="287">
        <v>150000</v>
      </c>
    </row>
    <row r="5" spans="1:7" x14ac:dyDescent="0.25">
      <c r="A5" s="41">
        <v>2</v>
      </c>
      <c r="B5" s="2"/>
      <c r="C5" s="23">
        <f>$G$4</f>
        <v>150000</v>
      </c>
      <c r="D5" s="32"/>
      <c r="F5" s="284" t="s">
        <v>99</v>
      </c>
      <c r="G5" s="285">
        <v>1.7100000000000001E-2</v>
      </c>
    </row>
    <row r="6" spans="1:7" x14ac:dyDescent="0.25">
      <c r="A6" s="41">
        <v>3</v>
      </c>
      <c r="B6" s="2"/>
      <c r="C6" s="23">
        <f>$G$4</f>
        <v>150000</v>
      </c>
      <c r="D6" s="32"/>
      <c r="F6" s="284" t="s">
        <v>5</v>
      </c>
      <c r="G6" s="185">
        <v>4</v>
      </c>
    </row>
    <row r="7" spans="1:7" ht="15.75" thickBot="1" x14ac:dyDescent="0.3">
      <c r="A7" s="41">
        <v>4</v>
      </c>
      <c r="B7" s="2"/>
      <c r="C7" s="23">
        <f>$G$4</f>
        <v>150000</v>
      </c>
      <c r="D7" s="32">
        <f>G7</f>
        <v>1950000</v>
      </c>
      <c r="F7" s="186" t="s">
        <v>100</v>
      </c>
      <c r="G7" s="288">
        <v>1950000</v>
      </c>
    </row>
    <row r="8" spans="1:7" x14ac:dyDescent="0.25">
      <c r="B8" s="44"/>
      <c r="C8" s="52"/>
      <c r="D8" s="52"/>
    </row>
    <row r="9" spans="1:7" x14ac:dyDescent="0.25">
      <c r="A9" s="96" t="s">
        <v>51</v>
      </c>
      <c r="B9" s="10"/>
      <c r="C9" s="10"/>
      <c r="D9" s="10"/>
    </row>
    <row r="11" spans="1:7" x14ac:dyDescent="0.25">
      <c r="A11" s="94" t="s">
        <v>43</v>
      </c>
      <c r="B11" s="98" t="s">
        <v>44</v>
      </c>
      <c r="C11" s="98" t="s">
        <v>45</v>
      </c>
      <c r="D11" s="95" t="s">
        <v>46</v>
      </c>
      <c r="E11" s="22" t="s">
        <v>102</v>
      </c>
    </row>
    <row r="12" spans="1:7" x14ac:dyDescent="0.25">
      <c r="A12" s="53">
        <v>0</v>
      </c>
      <c r="B12" s="32">
        <f>B4+C4/2</f>
        <v>1275000</v>
      </c>
      <c r="C12" s="32"/>
      <c r="D12" s="62">
        <f>C12-B12</f>
        <v>-1275000</v>
      </c>
      <c r="E12" s="61">
        <f>D12/(1+$G$5)^A12</f>
        <v>-1275000</v>
      </c>
    </row>
    <row r="13" spans="1:7" x14ac:dyDescent="0.25">
      <c r="A13" s="53">
        <v>1</v>
      </c>
      <c r="B13" s="32">
        <f>C4/2+C5/2</f>
        <v>150000</v>
      </c>
      <c r="C13" s="32"/>
      <c r="D13" s="62">
        <f t="shared" ref="D13:D16" si="0">C13-B13</f>
        <v>-150000</v>
      </c>
      <c r="E13" s="61">
        <f>D13/(1+$G$5)^A13</f>
        <v>-147478.12407826175</v>
      </c>
    </row>
    <row r="14" spans="1:7" x14ac:dyDescent="0.25">
      <c r="A14" s="53">
        <v>2</v>
      </c>
      <c r="B14" s="32">
        <f t="shared" ref="B14:B16" si="1">C5/2+C6/2</f>
        <v>150000</v>
      </c>
      <c r="C14" s="32"/>
      <c r="D14" s="62">
        <f t="shared" si="0"/>
        <v>-150000</v>
      </c>
      <c r="E14" s="61">
        <f>D14/(1+$G$5)^A14</f>
        <v>-144998.64721095446</v>
      </c>
    </row>
    <row r="15" spans="1:7" x14ac:dyDescent="0.25">
      <c r="A15" s="53">
        <v>3</v>
      </c>
      <c r="B15" s="32">
        <f t="shared" si="1"/>
        <v>150000</v>
      </c>
      <c r="C15" s="32"/>
      <c r="D15" s="62">
        <f t="shared" si="0"/>
        <v>-150000</v>
      </c>
      <c r="E15" s="61">
        <f>D15/(1+$G$5)^A15</f>
        <v>-142560.85656371494</v>
      </c>
    </row>
    <row r="16" spans="1:7" x14ac:dyDescent="0.25">
      <c r="A16" s="53">
        <v>4</v>
      </c>
      <c r="B16" s="32">
        <f t="shared" si="1"/>
        <v>75000</v>
      </c>
      <c r="C16" s="32">
        <f>D7</f>
        <v>1950000</v>
      </c>
      <c r="D16" s="62">
        <f t="shared" si="0"/>
        <v>1875000</v>
      </c>
      <c r="E16" s="61">
        <f>D16/(1+$G$5)^A16</f>
        <v>1752050.6410839022</v>
      </c>
    </row>
    <row r="17" spans="1:5" x14ac:dyDescent="0.25">
      <c r="A17" s="53"/>
      <c r="B17" s="32"/>
      <c r="C17" s="32"/>
      <c r="D17" s="55" t="s">
        <v>18</v>
      </c>
      <c r="E17" s="97">
        <f>SUM(E12:E16)</f>
        <v>42013.013230971061</v>
      </c>
    </row>
    <row r="18" spans="1:5" ht="18.75" customHeight="1" x14ac:dyDescent="0.25"/>
    <row r="19" spans="1:5" ht="18.75" customHeight="1" x14ac:dyDescent="0.25">
      <c r="B19" s="153" t="s">
        <v>167</v>
      </c>
      <c r="C19" s="154"/>
      <c r="D19" s="22" t="s">
        <v>103</v>
      </c>
      <c r="E19" s="19">
        <f>IRR(D12:D16,G5)</f>
        <v>2.4183401164377782E-2</v>
      </c>
    </row>
    <row r="21" spans="1:5" x14ac:dyDescent="0.25">
      <c r="B21" s="50" t="s">
        <v>25</v>
      </c>
      <c r="C21" s="50"/>
      <c r="D21" s="22" t="s">
        <v>18</v>
      </c>
      <c r="E21" s="289">
        <f>NPV(G5,D13:D16)+D12</f>
        <v>42013.013230971294</v>
      </c>
    </row>
    <row r="23" spans="1:5" x14ac:dyDescent="0.25">
      <c r="D23" s="95" t="s">
        <v>4</v>
      </c>
      <c r="E23" s="99">
        <v>1.7100000000000001E-2</v>
      </c>
    </row>
    <row r="25" spans="1:5" x14ac:dyDescent="0.25">
      <c r="D25" s="305" t="s">
        <v>14</v>
      </c>
      <c r="E25" s="306"/>
    </row>
    <row r="26" spans="1:5" x14ac:dyDescent="0.25">
      <c r="D26" s="49" t="s">
        <v>15</v>
      </c>
      <c r="E26" s="2" t="s">
        <v>16</v>
      </c>
    </row>
    <row r="27" spans="1:5" x14ac:dyDescent="0.25">
      <c r="D27" s="2" t="s">
        <v>17</v>
      </c>
      <c r="E27" s="2" t="s">
        <v>16</v>
      </c>
    </row>
    <row r="33" spans="1:13" x14ac:dyDescent="0.25">
      <c r="A33" s="81" t="s">
        <v>194</v>
      </c>
    </row>
    <row r="34" spans="1:13" x14ac:dyDescent="0.25">
      <c r="A34" s="94" t="s">
        <v>42</v>
      </c>
      <c r="B34" s="95" t="s">
        <v>101</v>
      </c>
      <c r="C34" s="95" t="s">
        <v>36</v>
      </c>
      <c r="D34" s="95" t="s">
        <v>37</v>
      </c>
    </row>
    <row r="35" spans="1:13" x14ac:dyDescent="0.25">
      <c r="A35" s="41">
        <v>1</v>
      </c>
      <c r="B35" s="7">
        <v>8000000</v>
      </c>
      <c r="C35" s="23">
        <v>700000</v>
      </c>
      <c r="D35" s="13">
        <v>2000000</v>
      </c>
    </row>
    <row r="36" spans="1:13" x14ac:dyDescent="0.25">
      <c r="A36" s="41">
        <v>2</v>
      </c>
      <c r="B36" s="2"/>
      <c r="C36" s="23">
        <v>700000</v>
      </c>
      <c r="D36" s="32">
        <f>D35*20%+D35</f>
        <v>2400000</v>
      </c>
    </row>
    <row r="37" spans="1:13" x14ac:dyDescent="0.25">
      <c r="A37" s="41">
        <v>3</v>
      </c>
      <c r="B37" s="2"/>
      <c r="C37" s="23">
        <v>700000</v>
      </c>
      <c r="D37" s="32">
        <f>D36*20%+D36</f>
        <v>2880000</v>
      </c>
    </row>
    <row r="38" spans="1:13" x14ac:dyDescent="0.25">
      <c r="A38" s="41">
        <v>4</v>
      </c>
      <c r="B38" s="2"/>
      <c r="C38" s="23">
        <v>700000</v>
      </c>
      <c r="D38" s="32">
        <f>D37*20%+D37</f>
        <v>3456000</v>
      </c>
    </row>
    <row r="39" spans="1:13" x14ac:dyDescent="0.25">
      <c r="A39" s="53">
        <v>5</v>
      </c>
      <c r="B39" s="2"/>
      <c r="C39" s="23">
        <v>700000</v>
      </c>
      <c r="D39" s="32">
        <f>D38*20%+D38</f>
        <v>4147200</v>
      </c>
    </row>
    <row r="40" spans="1:13" x14ac:dyDescent="0.25">
      <c r="A40" s="100" t="s">
        <v>51</v>
      </c>
      <c r="C40" s="65"/>
    </row>
    <row r="41" spans="1:13" x14ac:dyDescent="0.25">
      <c r="A41" s="95" t="s">
        <v>43</v>
      </c>
      <c r="B41" s="95" t="s">
        <v>44</v>
      </c>
      <c r="C41" s="95" t="s">
        <v>45</v>
      </c>
      <c r="D41" s="95" t="s">
        <v>55</v>
      </c>
      <c r="E41" s="95" t="s">
        <v>116</v>
      </c>
      <c r="F41" s="82" t="s">
        <v>120</v>
      </c>
      <c r="G41" s="116">
        <v>0.18890000000000001</v>
      </c>
      <c r="M41" s="111"/>
    </row>
    <row r="42" spans="1:13" x14ac:dyDescent="0.25">
      <c r="A42" s="2">
        <v>0</v>
      </c>
      <c r="B42" s="7">
        <f>B35+C35/2</f>
        <v>8350000</v>
      </c>
      <c r="C42" s="7">
        <f>D35/2+D61</f>
        <v>4000000</v>
      </c>
      <c r="D42" s="7">
        <f>C42-B42</f>
        <v>-4350000</v>
      </c>
      <c r="E42" s="13">
        <f>D42/(1+18.89%)^A42</f>
        <v>-4350000</v>
      </c>
      <c r="F42" s="82" t="s">
        <v>18</v>
      </c>
      <c r="G42" s="88">
        <f>NPV(18.89%,D43:D47)+D42</f>
        <v>-422846.1385623049</v>
      </c>
    </row>
    <row r="43" spans="1:13" x14ac:dyDescent="0.25">
      <c r="A43" s="2">
        <v>1</v>
      </c>
      <c r="B43" s="7">
        <f>C35/2+C36/2+C55</f>
        <v>1600000</v>
      </c>
      <c r="C43" s="7">
        <f>D35/2+D36/2</f>
        <v>2200000</v>
      </c>
      <c r="D43" s="7">
        <f t="shared" ref="D43:D47" si="2">C43-B43</f>
        <v>600000</v>
      </c>
      <c r="E43" s="13">
        <f t="shared" ref="E43:E47" si="3">D43/(1+18.89%)^A43</f>
        <v>504668.18067120865</v>
      </c>
      <c r="F43" s="82" t="s">
        <v>13</v>
      </c>
      <c r="G43" s="116">
        <f>IRR(D42:D47,G41)</f>
        <v>0.15032725859812501</v>
      </c>
    </row>
    <row r="44" spans="1:13" x14ac:dyDescent="0.25">
      <c r="A44" s="2">
        <v>2</v>
      </c>
      <c r="B44" s="7">
        <f>C36/2+C37/2+C56</f>
        <v>1540000</v>
      </c>
      <c r="C44" s="7">
        <f>D36/2+D37/2</f>
        <v>2640000</v>
      </c>
      <c r="D44" s="7">
        <f t="shared" si="2"/>
        <v>1100000</v>
      </c>
      <c r="E44" s="13">
        <f t="shared" si="3"/>
        <v>778219.36066718469</v>
      </c>
      <c r="F44" s="27" t="s">
        <v>111</v>
      </c>
      <c r="G44" s="27"/>
    </row>
    <row r="45" spans="1:13" x14ac:dyDescent="0.25">
      <c r="A45" s="2">
        <v>3</v>
      </c>
      <c r="B45" s="7">
        <f>C37/2+C38/2+C57</f>
        <v>1480000</v>
      </c>
      <c r="C45" s="7">
        <f>D37/2+D38/2</f>
        <v>3168000</v>
      </c>
      <c r="D45" s="7">
        <f t="shared" si="2"/>
        <v>1688000</v>
      </c>
      <c r="E45" s="13">
        <f t="shared" si="3"/>
        <v>1004468.8220633341</v>
      </c>
    </row>
    <row r="46" spans="1:13" x14ac:dyDescent="0.25">
      <c r="A46" s="2">
        <v>4</v>
      </c>
      <c r="B46" s="7">
        <f>C38/2+C39/2+C58</f>
        <v>1420000</v>
      </c>
      <c r="C46" s="7">
        <f>D38/2+D39/2</f>
        <v>3801600</v>
      </c>
      <c r="D46" s="7">
        <f t="shared" si="2"/>
        <v>2381600</v>
      </c>
      <c r="E46" s="13">
        <f t="shared" si="3"/>
        <v>1192030.9000763162</v>
      </c>
    </row>
    <row r="47" spans="1:13" x14ac:dyDescent="0.25">
      <c r="A47" s="2">
        <v>5</v>
      </c>
      <c r="B47" s="7">
        <f>C39/2+C40/2+C59</f>
        <v>1010000</v>
      </c>
      <c r="C47" s="7">
        <f>D39/2+D40/2</f>
        <v>2073600</v>
      </c>
      <c r="D47" s="7">
        <f t="shared" si="2"/>
        <v>1063600</v>
      </c>
      <c r="E47" s="13">
        <f t="shared" si="3"/>
        <v>447766.59795965167</v>
      </c>
    </row>
    <row r="48" spans="1:13" x14ac:dyDescent="0.25">
      <c r="A48" s="2"/>
      <c r="B48" s="7"/>
      <c r="C48" s="7"/>
      <c r="D48" s="67" t="s">
        <v>18</v>
      </c>
      <c r="E48" s="110">
        <f>SUM(E42:E47)</f>
        <v>-422846.13856230461</v>
      </c>
    </row>
    <row r="49" spans="1:8" x14ac:dyDescent="0.25">
      <c r="A49" t="s">
        <v>108</v>
      </c>
    </row>
    <row r="50" spans="1:8" x14ac:dyDescent="0.25">
      <c r="A50" t="s">
        <v>109</v>
      </c>
    </row>
    <row r="51" spans="1:8" x14ac:dyDescent="0.25">
      <c r="A51" t="s">
        <v>110</v>
      </c>
    </row>
    <row r="52" spans="1:8" x14ac:dyDescent="0.25">
      <c r="A52" t="s">
        <v>117</v>
      </c>
    </row>
    <row r="53" spans="1:8" x14ac:dyDescent="0.25">
      <c r="A53" s="77" t="s">
        <v>79</v>
      </c>
    </row>
    <row r="54" spans="1:8" ht="45" x14ac:dyDescent="0.25">
      <c r="A54" s="71" t="s">
        <v>63</v>
      </c>
      <c r="B54" s="71" t="s">
        <v>76</v>
      </c>
      <c r="C54" s="71" t="s">
        <v>106</v>
      </c>
      <c r="D54" s="71" t="s">
        <v>107</v>
      </c>
      <c r="E54" s="71" t="s">
        <v>105</v>
      </c>
      <c r="F54" s="71" t="s">
        <v>64</v>
      </c>
    </row>
    <row r="55" spans="1:8" x14ac:dyDescent="0.25">
      <c r="A55" s="2">
        <v>1</v>
      </c>
      <c r="B55" s="7">
        <v>3000000</v>
      </c>
      <c r="C55" s="7">
        <f>E55+D55</f>
        <v>900000</v>
      </c>
      <c r="D55" s="7">
        <f>B55*$D$63</f>
        <v>300000</v>
      </c>
      <c r="E55" s="7">
        <f>$B$62</f>
        <v>600000</v>
      </c>
      <c r="F55" s="7">
        <f>E55</f>
        <v>600000</v>
      </c>
    </row>
    <row r="56" spans="1:8" x14ac:dyDescent="0.25">
      <c r="A56" s="2">
        <v>2</v>
      </c>
      <c r="B56" s="7">
        <f>B55-E56</f>
        <v>2400000</v>
      </c>
      <c r="C56" s="7">
        <f t="shared" ref="C56:C59" si="4">E56+D56</f>
        <v>840000</v>
      </c>
      <c r="D56" s="7">
        <f>B56*$D$63</f>
        <v>240000</v>
      </c>
      <c r="E56" s="7">
        <f>$B$62</f>
        <v>600000</v>
      </c>
      <c r="F56" s="7">
        <f>F55+E56</f>
        <v>1200000</v>
      </c>
    </row>
    <row r="57" spans="1:8" x14ac:dyDescent="0.25">
      <c r="A57" s="2">
        <v>3</v>
      </c>
      <c r="B57" s="7">
        <f t="shared" ref="B57:B59" si="5">B56-E57</f>
        <v>1800000</v>
      </c>
      <c r="C57" s="7">
        <f t="shared" si="4"/>
        <v>780000</v>
      </c>
      <c r="D57" s="7">
        <f>B57*$D$63</f>
        <v>180000</v>
      </c>
      <c r="E57" s="7">
        <f>$B$62</f>
        <v>600000</v>
      </c>
      <c r="F57" s="7">
        <f t="shared" ref="F57:F59" si="6">F56+E57</f>
        <v>1800000</v>
      </c>
    </row>
    <row r="58" spans="1:8" x14ac:dyDescent="0.25">
      <c r="A58" s="85">
        <v>4</v>
      </c>
      <c r="B58" s="7">
        <f t="shared" si="5"/>
        <v>1200000</v>
      </c>
      <c r="C58" s="7">
        <f t="shared" si="4"/>
        <v>720000</v>
      </c>
      <c r="D58" s="7">
        <f>B58*$D$63</f>
        <v>120000</v>
      </c>
      <c r="E58" s="7">
        <f>$B$62</f>
        <v>600000</v>
      </c>
      <c r="F58" s="7">
        <f t="shared" si="6"/>
        <v>2400000</v>
      </c>
    </row>
    <row r="59" spans="1:8" x14ac:dyDescent="0.25">
      <c r="A59" s="85">
        <v>5</v>
      </c>
      <c r="B59" s="7">
        <f t="shared" si="5"/>
        <v>600000</v>
      </c>
      <c r="C59" s="7">
        <f t="shared" si="4"/>
        <v>660000</v>
      </c>
      <c r="D59" s="7">
        <f>B59*$D$63</f>
        <v>60000</v>
      </c>
      <c r="E59" s="7">
        <f>$B$62</f>
        <v>600000</v>
      </c>
      <c r="F59" s="75">
        <f t="shared" si="6"/>
        <v>3000000</v>
      </c>
      <c r="G59" s="60" t="s">
        <v>84</v>
      </c>
      <c r="H59" s="60"/>
    </row>
    <row r="60" spans="1:8" x14ac:dyDescent="0.25">
      <c r="E60" s="89">
        <f>SUM(E55:E59)</f>
        <v>3000000</v>
      </c>
      <c r="G60" s="60" t="s">
        <v>73</v>
      </c>
      <c r="H60" s="60"/>
    </row>
    <row r="61" spans="1:8" x14ac:dyDescent="0.25">
      <c r="A61" s="102" t="s">
        <v>80</v>
      </c>
      <c r="B61" s="102" t="s">
        <v>81</v>
      </c>
      <c r="C61" s="103" t="s">
        <v>82</v>
      </c>
      <c r="D61" s="104">
        <v>3000000</v>
      </c>
      <c r="G61" s="60" t="s">
        <v>85</v>
      </c>
      <c r="H61" s="60"/>
    </row>
    <row r="62" spans="1:8" x14ac:dyDescent="0.25">
      <c r="A62" s="102" t="s">
        <v>80</v>
      </c>
      <c r="B62" s="104">
        <f>D61/D62</f>
        <v>600000</v>
      </c>
      <c r="C62" s="103" t="s">
        <v>83</v>
      </c>
      <c r="D62" s="104">
        <v>5</v>
      </c>
    </row>
    <row r="63" spans="1:8" x14ac:dyDescent="0.25">
      <c r="A63" s="82"/>
      <c r="B63" s="82"/>
      <c r="C63" s="103" t="s">
        <v>86</v>
      </c>
      <c r="D63" s="105">
        <v>0.1</v>
      </c>
    </row>
    <row r="64" spans="1:8" x14ac:dyDescent="0.25">
      <c r="A64" s="80" t="s">
        <v>112</v>
      </c>
      <c r="B64" s="80"/>
      <c r="C64" s="80"/>
      <c r="D64" s="80"/>
      <c r="E64" s="80"/>
    </row>
    <row r="65" spans="1:12" x14ac:dyDescent="0.25">
      <c r="A65" s="77" t="s">
        <v>69</v>
      </c>
    </row>
    <row r="66" spans="1:12" x14ac:dyDescent="0.25">
      <c r="E66" s="72" t="s">
        <v>65</v>
      </c>
      <c r="F66" s="73">
        <v>0.1</v>
      </c>
    </row>
    <row r="67" spans="1:12" x14ac:dyDescent="0.25">
      <c r="E67" s="72" t="s">
        <v>66</v>
      </c>
      <c r="F67" s="72">
        <v>5</v>
      </c>
    </row>
    <row r="68" spans="1:12" x14ac:dyDescent="0.25">
      <c r="E68" s="72" t="s">
        <v>67</v>
      </c>
      <c r="F68" s="72" t="s">
        <v>68</v>
      </c>
    </row>
    <row r="69" spans="1:12" x14ac:dyDescent="0.25">
      <c r="E69" s="72" t="s">
        <v>97</v>
      </c>
      <c r="F69" s="87">
        <f>791392.44</f>
        <v>791392.44</v>
      </c>
      <c r="K69" s="108"/>
      <c r="L69" s="108"/>
    </row>
    <row r="70" spans="1:12" x14ac:dyDescent="0.25">
      <c r="E70" s="72" t="s">
        <v>115</v>
      </c>
      <c r="F70" s="106">
        <v>3000000</v>
      </c>
    </row>
    <row r="71" spans="1:12" ht="45" x14ac:dyDescent="0.25">
      <c r="A71" s="74" t="s">
        <v>63</v>
      </c>
      <c r="B71" s="71" t="s">
        <v>76</v>
      </c>
      <c r="C71" s="71" t="s">
        <v>114</v>
      </c>
      <c r="D71" s="71" t="s">
        <v>107</v>
      </c>
      <c r="E71" s="71" t="s">
        <v>72</v>
      </c>
      <c r="F71" s="71" t="s">
        <v>64</v>
      </c>
    </row>
    <row r="72" spans="1:12" x14ac:dyDescent="0.25">
      <c r="A72" s="2">
        <v>1</v>
      </c>
      <c r="B72" s="7">
        <f>F70</f>
        <v>3000000</v>
      </c>
      <c r="C72" s="7">
        <f>$F$69</f>
        <v>791392.44</v>
      </c>
      <c r="D72" s="7">
        <f>B72*$F$66</f>
        <v>300000</v>
      </c>
      <c r="E72" s="7">
        <f>C72-D72</f>
        <v>491392.43999999994</v>
      </c>
      <c r="F72" s="7">
        <f>E72</f>
        <v>491392.43999999994</v>
      </c>
    </row>
    <row r="73" spans="1:12" x14ac:dyDescent="0.25">
      <c r="A73" s="2">
        <v>2</v>
      </c>
      <c r="B73" s="7">
        <f>B72-E72</f>
        <v>2508607.56</v>
      </c>
      <c r="C73" s="7">
        <f>$F$69</f>
        <v>791392.44</v>
      </c>
      <c r="D73" s="7">
        <f>B73*$F$66</f>
        <v>250860.75600000002</v>
      </c>
      <c r="E73" s="7">
        <f>C73-D73</f>
        <v>540531.68399999989</v>
      </c>
      <c r="F73" s="7">
        <f>F72+E73</f>
        <v>1031924.1239999998</v>
      </c>
    </row>
    <row r="74" spans="1:12" x14ac:dyDescent="0.25">
      <c r="A74" s="2">
        <v>3</v>
      </c>
      <c r="B74" s="7">
        <f>B73-E73</f>
        <v>1968075.8760000002</v>
      </c>
      <c r="C74" s="7">
        <f>$F$69</f>
        <v>791392.44</v>
      </c>
      <c r="D74" s="7">
        <f>B74*$F$66</f>
        <v>196807.58760000003</v>
      </c>
      <c r="E74" s="7">
        <f>C74-D74</f>
        <v>594584.85239999997</v>
      </c>
      <c r="F74" s="7">
        <f t="shared" ref="F74:F76" si="7">F73+E74</f>
        <v>1626508.9763999998</v>
      </c>
    </row>
    <row r="75" spans="1:12" x14ac:dyDescent="0.25">
      <c r="A75" s="85">
        <v>4</v>
      </c>
      <c r="B75" s="7">
        <f>B74-E74</f>
        <v>1373491.0236000002</v>
      </c>
      <c r="C75" s="7">
        <f>$F$69</f>
        <v>791392.44</v>
      </c>
      <c r="D75" s="7">
        <f>B75*$F$66</f>
        <v>137349.10236000002</v>
      </c>
      <c r="E75" s="7">
        <f>C75-D75</f>
        <v>654043.33763999993</v>
      </c>
      <c r="F75" s="7">
        <f t="shared" si="7"/>
        <v>2280552.3140399996</v>
      </c>
      <c r="G75" s="76" t="s">
        <v>75</v>
      </c>
    </row>
    <row r="76" spans="1:12" x14ac:dyDescent="0.25">
      <c r="A76" s="85">
        <v>5</v>
      </c>
      <c r="B76" s="7">
        <f>B75-E75</f>
        <v>719447.68596000026</v>
      </c>
      <c r="C76" s="7">
        <f>$F$69</f>
        <v>791392.44</v>
      </c>
      <c r="D76" s="7">
        <f>B76*$F$66</f>
        <v>71944.768596000024</v>
      </c>
      <c r="E76" s="7">
        <f>C76-D76</f>
        <v>719447.67140399991</v>
      </c>
      <c r="F76" s="107">
        <f t="shared" si="7"/>
        <v>2999999.9854439995</v>
      </c>
      <c r="G76" s="76" t="s">
        <v>73</v>
      </c>
    </row>
    <row r="77" spans="1:12" x14ac:dyDescent="0.25">
      <c r="A77" s="85"/>
      <c r="B77" s="86"/>
      <c r="C77" s="86"/>
      <c r="D77" s="86"/>
      <c r="E77" s="107">
        <f>SUM(E72:E76)</f>
        <v>2999999.9854439995</v>
      </c>
      <c r="F77" s="86"/>
      <c r="G77" s="76" t="s">
        <v>74</v>
      </c>
    </row>
    <row r="79" spans="1:12" x14ac:dyDescent="0.25">
      <c r="A79" s="94" t="s">
        <v>42</v>
      </c>
      <c r="B79" s="95" t="s">
        <v>101</v>
      </c>
      <c r="C79" s="95" t="s">
        <v>36</v>
      </c>
      <c r="D79" s="95" t="s">
        <v>37</v>
      </c>
    </row>
    <row r="80" spans="1:12" x14ac:dyDescent="0.25">
      <c r="A80" s="41">
        <v>1</v>
      </c>
      <c r="B80" s="7">
        <v>8000000</v>
      </c>
      <c r="C80" s="23">
        <v>700000</v>
      </c>
      <c r="D80" s="7">
        <v>2000000</v>
      </c>
    </row>
    <row r="81" spans="1:8" x14ac:dyDescent="0.25">
      <c r="A81" s="41">
        <v>2</v>
      </c>
      <c r="B81" s="2"/>
      <c r="C81" s="23">
        <v>700000</v>
      </c>
      <c r="D81" s="32">
        <f>D80*20%+D80</f>
        <v>2400000</v>
      </c>
      <c r="H81" s="76"/>
    </row>
    <row r="82" spans="1:8" x14ac:dyDescent="0.25">
      <c r="A82" s="41">
        <v>3</v>
      </c>
      <c r="B82" s="2"/>
      <c r="C82" s="23">
        <v>700000</v>
      </c>
      <c r="D82" s="32">
        <f>D81*20%+D81</f>
        <v>2880000</v>
      </c>
      <c r="H82" s="76"/>
    </row>
    <row r="83" spans="1:8" x14ac:dyDescent="0.25">
      <c r="A83" s="41">
        <v>4</v>
      </c>
      <c r="B83" s="2"/>
      <c r="C83" s="23">
        <v>700000</v>
      </c>
      <c r="D83" s="32">
        <f>D82*20%+D82</f>
        <v>3456000</v>
      </c>
      <c r="H83" s="76"/>
    </row>
    <row r="84" spans="1:8" x14ac:dyDescent="0.25">
      <c r="A84" s="53">
        <v>5</v>
      </c>
      <c r="B84" s="2"/>
      <c r="C84" s="23">
        <v>700000</v>
      </c>
      <c r="D84" s="32">
        <f>D83*20%+D83</f>
        <v>4147200</v>
      </c>
    </row>
    <row r="85" spans="1:8" x14ac:dyDescent="0.25">
      <c r="A85" s="100" t="s">
        <v>51</v>
      </c>
    </row>
    <row r="86" spans="1:8" x14ac:dyDescent="0.25">
      <c r="A86" s="95" t="s">
        <v>43</v>
      </c>
      <c r="B86" s="95" t="s">
        <v>44</v>
      </c>
      <c r="C86" s="95" t="s">
        <v>45</v>
      </c>
      <c r="D86" s="95" t="s">
        <v>55</v>
      </c>
      <c r="E86" s="95" t="s">
        <v>116</v>
      </c>
    </row>
    <row r="87" spans="1:8" x14ac:dyDescent="0.25">
      <c r="A87" s="2">
        <v>0</v>
      </c>
      <c r="B87" s="7">
        <f>B80+C80/2</f>
        <v>8350000</v>
      </c>
      <c r="C87" s="7">
        <f>D80/2+F70</f>
        <v>4000000</v>
      </c>
      <c r="D87" s="7">
        <f>C87-B87</f>
        <v>-4350000</v>
      </c>
      <c r="E87" s="7">
        <f t="shared" ref="E87:E92" si="8">D87/(1+$H$89)^A87</f>
        <v>-4350000</v>
      </c>
    </row>
    <row r="88" spans="1:8" x14ac:dyDescent="0.25">
      <c r="A88" s="2">
        <v>1</v>
      </c>
      <c r="B88" s="7">
        <f>C80/2+C81/2+C72</f>
        <v>1491392.44</v>
      </c>
      <c r="C88" s="7">
        <f>D80/2+D81/2</f>
        <v>2200000</v>
      </c>
      <c r="D88" s="7">
        <f t="shared" ref="D88:D92" si="9">C88-B88</f>
        <v>708607.56</v>
      </c>
      <c r="E88" s="7">
        <f t="shared" si="8"/>
        <v>596019.48019177397</v>
      </c>
    </row>
    <row r="89" spans="1:8" x14ac:dyDescent="0.25">
      <c r="A89" s="2">
        <v>2</v>
      </c>
      <c r="B89" s="7">
        <f>C81/2+C82/2+C73</f>
        <v>1491392.44</v>
      </c>
      <c r="C89" s="7">
        <f>D81/2+D82/2</f>
        <v>2640000</v>
      </c>
      <c r="D89" s="7">
        <f t="shared" si="9"/>
        <v>1148607.56</v>
      </c>
      <c r="E89" s="7">
        <f t="shared" si="8"/>
        <v>812607.85545517725</v>
      </c>
      <c r="G89" s="82" t="s">
        <v>120</v>
      </c>
      <c r="H89" s="116">
        <v>0.18890000000000001</v>
      </c>
    </row>
    <row r="90" spans="1:8" x14ac:dyDescent="0.25">
      <c r="A90" s="2">
        <v>3</v>
      </c>
      <c r="B90" s="7">
        <f>C82/2+C83/2+C74</f>
        <v>1491392.44</v>
      </c>
      <c r="C90" s="7">
        <f>D82/2+D83/2</f>
        <v>3168000</v>
      </c>
      <c r="D90" s="7">
        <f t="shared" si="9"/>
        <v>1676607.56</v>
      </c>
      <c r="E90" s="7">
        <f t="shared" si="8"/>
        <v>997689.58581497672</v>
      </c>
      <c r="G90" s="82" t="s">
        <v>18</v>
      </c>
      <c r="H90" s="88">
        <f>NPV(18.89%,D88:D92)+D87</f>
        <v>-394933.80395665346</v>
      </c>
    </row>
    <row r="91" spans="1:8" x14ac:dyDescent="0.25">
      <c r="A91" s="2">
        <v>4</v>
      </c>
      <c r="B91" s="7">
        <f>C83/2+C84/2+C75</f>
        <v>1491392.44</v>
      </c>
      <c r="C91" s="7">
        <f>D83/2+D84/2</f>
        <v>3801600</v>
      </c>
      <c r="D91" s="7">
        <f t="shared" si="9"/>
        <v>2310207.56</v>
      </c>
      <c r="E91" s="7">
        <f t="shared" si="8"/>
        <v>1156297.7817895156</v>
      </c>
      <c r="G91" s="82" t="s">
        <v>13</v>
      </c>
      <c r="H91" s="101">
        <f>IRR(D87:D92,H89)</f>
        <v>0.15186521664795305</v>
      </c>
    </row>
    <row r="92" spans="1:8" x14ac:dyDescent="0.25">
      <c r="A92" s="2">
        <v>5</v>
      </c>
      <c r="B92" s="7">
        <f>C84/2+C76</f>
        <v>1141392.44</v>
      </c>
      <c r="C92" s="7">
        <f>D84/2+D85/2</f>
        <v>2073600</v>
      </c>
      <c r="D92" s="7">
        <f t="shared" si="9"/>
        <v>932207.56</v>
      </c>
      <c r="E92" s="7">
        <f t="shared" si="8"/>
        <v>392451.49279190286</v>
      </c>
      <c r="G92" t="s">
        <v>111</v>
      </c>
    </row>
    <row r="93" spans="1:8" x14ac:dyDescent="0.25">
      <c r="A93" s="2"/>
      <c r="B93" s="7"/>
      <c r="C93" s="7"/>
      <c r="D93" s="67" t="s">
        <v>18</v>
      </c>
      <c r="E93" s="110">
        <f>SUM(E87:E92)</f>
        <v>-394933.80395665381</v>
      </c>
    </row>
    <row r="95" spans="1:8" x14ac:dyDescent="0.25">
      <c r="A95" s="81" t="s">
        <v>118</v>
      </c>
    </row>
    <row r="96" spans="1:8" x14ac:dyDescent="0.25">
      <c r="A96" s="94" t="s">
        <v>42</v>
      </c>
      <c r="B96" s="95" t="s">
        <v>36</v>
      </c>
      <c r="C96" s="95" t="s">
        <v>37</v>
      </c>
    </row>
    <row r="97" spans="1:5" x14ac:dyDescent="0.25">
      <c r="A97" s="41">
        <v>1</v>
      </c>
      <c r="B97" s="23">
        <v>1099</v>
      </c>
      <c r="C97" s="2">
        <v>8000</v>
      </c>
    </row>
    <row r="98" spans="1:5" x14ac:dyDescent="0.25">
      <c r="A98" s="41">
        <f>A97+1</f>
        <v>2</v>
      </c>
      <c r="B98" s="23">
        <v>1099</v>
      </c>
      <c r="C98" s="32"/>
      <c r="D98" s="65"/>
    </row>
    <row r="99" spans="1:5" x14ac:dyDescent="0.25">
      <c r="A99" s="41">
        <f t="shared" ref="A99:A108" si="10">A98+1</f>
        <v>3</v>
      </c>
      <c r="B99" s="23">
        <v>1099</v>
      </c>
      <c r="C99" s="32"/>
      <c r="D99" s="65"/>
    </row>
    <row r="100" spans="1:5" x14ac:dyDescent="0.25">
      <c r="A100" s="41">
        <f t="shared" si="10"/>
        <v>4</v>
      </c>
      <c r="B100" s="23">
        <v>1099</v>
      </c>
      <c r="C100" s="32"/>
      <c r="D100" s="65"/>
    </row>
    <row r="101" spans="1:5" x14ac:dyDescent="0.25">
      <c r="A101" s="41">
        <f t="shared" si="10"/>
        <v>5</v>
      </c>
      <c r="B101" s="23">
        <v>1099</v>
      </c>
      <c r="D101" s="65"/>
    </row>
    <row r="102" spans="1:5" x14ac:dyDescent="0.25">
      <c r="A102" s="41">
        <f t="shared" si="10"/>
        <v>6</v>
      </c>
      <c r="B102" s="23">
        <v>1099</v>
      </c>
      <c r="D102" s="65"/>
    </row>
    <row r="103" spans="1:5" x14ac:dyDescent="0.25">
      <c r="A103" s="41">
        <f t="shared" si="10"/>
        <v>7</v>
      </c>
      <c r="B103" s="23">
        <v>1099</v>
      </c>
      <c r="D103" s="65"/>
    </row>
    <row r="104" spans="1:5" x14ac:dyDescent="0.25">
      <c r="A104" s="41">
        <f t="shared" si="10"/>
        <v>8</v>
      </c>
      <c r="B104" s="23">
        <v>1099</v>
      </c>
      <c r="D104" s="65"/>
    </row>
    <row r="105" spans="1:5" x14ac:dyDescent="0.25">
      <c r="A105" s="41">
        <f t="shared" si="10"/>
        <v>9</v>
      </c>
      <c r="B105" s="23">
        <v>1099</v>
      </c>
      <c r="D105" s="65"/>
    </row>
    <row r="106" spans="1:5" x14ac:dyDescent="0.25">
      <c r="A106" s="41">
        <f t="shared" si="10"/>
        <v>10</v>
      </c>
      <c r="B106" s="23">
        <v>1099</v>
      </c>
      <c r="D106" s="65"/>
    </row>
    <row r="107" spans="1:5" x14ac:dyDescent="0.25">
      <c r="A107" s="41">
        <f>A106+1</f>
        <v>11</v>
      </c>
      <c r="B107" s="23">
        <v>1099</v>
      </c>
      <c r="D107" s="65"/>
    </row>
    <row r="108" spans="1:5" x14ac:dyDescent="0.25">
      <c r="A108" s="41">
        <f t="shared" si="10"/>
        <v>12</v>
      </c>
      <c r="B108" s="23">
        <v>1099</v>
      </c>
      <c r="D108" s="65"/>
    </row>
    <row r="109" spans="1:5" x14ac:dyDescent="0.25">
      <c r="A109" s="118" t="s">
        <v>51</v>
      </c>
      <c r="D109" s="65"/>
    </row>
    <row r="110" spans="1:5" x14ac:dyDescent="0.25">
      <c r="A110" s="117" t="s">
        <v>122</v>
      </c>
      <c r="B110" s="117"/>
      <c r="C110" s="117"/>
      <c r="D110" s="117"/>
      <c r="E110" s="117"/>
    </row>
    <row r="111" spans="1:5" x14ac:dyDescent="0.25">
      <c r="A111" s="117" t="s">
        <v>123</v>
      </c>
      <c r="B111" s="117"/>
      <c r="C111" s="117"/>
      <c r="D111" s="117" t="s">
        <v>124</v>
      </c>
      <c r="E111" s="117"/>
    </row>
    <row r="112" spans="1:5" x14ac:dyDescent="0.25">
      <c r="A112" s="119" t="s">
        <v>43</v>
      </c>
      <c r="B112" s="120" t="s">
        <v>36</v>
      </c>
      <c r="C112" s="120" t="s">
        <v>37</v>
      </c>
      <c r="D112" s="112" t="s">
        <v>119</v>
      </c>
    </row>
    <row r="113" spans="1:8" x14ac:dyDescent="0.25">
      <c r="A113" s="2">
        <v>0</v>
      </c>
      <c r="B113" s="23"/>
      <c r="C113" s="2">
        <f>C97</f>
        <v>8000</v>
      </c>
      <c r="D113" s="23">
        <f>C113-B113</f>
        <v>8000</v>
      </c>
    </row>
    <row r="114" spans="1:8" x14ac:dyDescent="0.25">
      <c r="A114" s="2">
        <f>A113+1</f>
        <v>1</v>
      </c>
      <c r="B114" s="23">
        <f t="shared" ref="B114:B124" si="11">B97/2+B98/2</f>
        <v>1099</v>
      </c>
      <c r="C114" s="2"/>
      <c r="D114" s="23">
        <f t="shared" ref="D114:D125" si="12">C114-B114</f>
        <v>-1099</v>
      </c>
    </row>
    <row r="115" spans="1:8" x14ac:dyDescent="0.25">
      <c r="A115" s="2">
        <f t="shared" ref="A115:A124" si="13">A114+1</f>
        <v>2</v>
      </c>
      <c r="B115" s="23">
        <f t="shared" si="11"/>
        <v>1099</v>
      </c>
      <c r="C115" s="2"/>
      <c r="D115" s="23">
        <f t="shared" si="12"/>
        <v>-1099</v>
      </c>
    </row>
    <row r="116" spans="1:8" x14ac:dyDescent="0.25">
      <c r="A116" s="2">
        <f t="shared" si="13"/>
        <v>3</v>
      </c>
      <c r="B116" s="23">
        <f t="shared" si="11"/>
        <v>1099</v>
      </c>
      <c r="C116" s="2"/>
      <c r="D116" s="23">
        <f t="shared" si="12"/>
        <v>-1099</v>
      </c>
    </row>
    <row r="117" spans="1:8" x14ac:dyDescent="0.25">
      <c r="A117" s="2">
        <f t="shared" si="13"/>
        <v>4</v>
      </c>
      <c r="B117" s="23">
        <f t="shared" si="11"/>
        <v>1099</v>
      </c>
      <c r="C117" s="2"/>
      <c r="D117" s="23">
        <f t="shared" si="12"/>
        <v>-1099</v>
      </c>
    </row>
    <row r="118" spans="1:8" x14ac:dyDescent="0.25">
      <c r="A118" s="2">
        <f t="shared" si="13"/>
        <v>5</v>
      </c>
      <c r="B118" s="23">
        <f t="shared" si="11"/>
        <v>1099</v>
      </c>
      <c r="C118" s="2"/>
      <c r="D118" s="23">
        <f t="shared" si="12"/>
        <v>-1099</v>
      </c>
    </row>
    <row r="119" spans="1:8" x14ac:dyDescent="0.25">
      <c r="A119" s="2">
        <f t="shared" si="13"/>
        <v>6</v>
      </c>
      <c r="B119" s="23">
        <f t="shared" si="11"/>
        <v>1099</v>
      </c>
      <c r="C119" s="2"/>
      <c r="D119" s="23">
        <f t="shared" si="12"/>
        <v>-1099</v>
      </c>
    </row>
    <row r="120" spans="1:8" x14ac:dyDescent="0.25">
      <c r="A120" s="2">
        <f t="shared" si="13"/>
        <v>7</v>
      </c>
      <c r="B120" s="23">
        <f t="shared" si="11"/>
        <v>1099</v>
      </c>
      <c r="C120" s="2"/>
      <c r="D120" s="23">
        <f t="shared" si="12"/>
        <v>-1099</v>
      </c>
    </row>
    <row r="121" spans="1:8" x14ac:dyDescent="0.25">
      <c r="A121" s="2">
        <f t="shared" si="13"/>
        <v>8</v>
      </c>
      <c r="B121" s="23">
        <f t="shared" si="11"/>
        <v>1099</v>
      </c>
      <c r="C121" s="2"/>
      <c r="D121" s="23">
        <f t="shared" si="12"/>
        <v>-1099</v>
      </c>
    </row>
    <row r="122" spans="1:8" x14ac:dyDescent="0.25">
      <c r="A122" s="2">
        <f t="shared" si="13"/>
        <v>9</v>
      </c>
      <c r="B122" s="23">
        <f t="shared" si="11"/>
        <v>1099</v>
      </c>
      <c r="C122" s="2"/>
      <c r="D122" s="23">
        <f t="shared" si="12"/>
        <v>-1099</v>
      </c>
    </row>
    <row r="123" spans="1:8" x14ac:dyDescent="0.25">
      <c r="A123" s="2">
        <f t="shared" si="13"/>
        <v>10</v>
      </c>
      <c r="B123" s="23">
        <f t="shared" si="11"/>
        <v>1099</v>
      </c>
      <c r="C123" s="2"/>
      <c r="D123" s="23">
        <f t="shared" si="12"/>
        <v>-1099</v>
      </c>
    </row>
    <row r="124" spans="1:8" x14ac:dyDescent="0.25">
      <c r="A124" s="2">
        <f t="shared" si="13"/>
        <v>11</v>
      </c>
      <c r="B124" s="23">
        <f t="shared" si="11"/>
        <v>1099</v>
      </c>
      <c r="C124" s="2"/>
      <c r="D124" s="23">
        <f t="shared" si="12"/>
        <v>-1099</v>
      </c>
      <c r="E124" s="123" t="s">
        <v>121</v>
      </c>
      <c r="G124" s="82" t="s">
        <v>13</v>
      </c>
      <c r="H124" s="116">
        <f>IRR(D113:D125)</f>
        <v>8.6753466991875694E-2</v>
      </c>
    </row>
    <row r="125" spans="1:8" x14ac:dyDescent="0.25">
      <c r="A125" s="2">
        <f>A124+1</f>
        <v>12</v>
      </c>
      <c r="B125" s="23">
        <f>B108</f>
        <v>1099</v>
      </c>
      <c r="C125" s="2"/>
      <c r="D125" s="23">
        <f t="shared" si="12"/>
        <v>-1099</v>
      </c>
      <c r="E125" s="124">
        <v>0.13739999999999999</v>
      </c>
    </row>
    <row r="126" spans="1:8" x14ac:dyDescent="0.25">
      <c r="E126" s="27" t="s">
        <v>26</v>
      </c>
      <c r="F126" s="27" t="s">
        <v>125</v>
      </c>
      <c r="G126" s="27"/>
    </row>
    <row r="127" spans="1:8" x14ac:dyDescent="0.25">
      <c r="A127" s="10"/>
      <c r="B127" s="10"/>
      <c r="C127" s="10"/>
      <c r="D127" s="108"/>
    </row>
    <row r="128" spans="1:8" x14ac:dyDescent="0.25">
      <c r="A128" s="81" t="s">
        <v>127</v>
      </c>
    </row>
    <row r="129" spans="1:10" x14ac:dyDescent="0.25">
      <c r="A129" s="94" t="s">
        <v>42</v>
      </c>
      <c r="B129" s="95" t="s">
        <v>36</v>
      </c>
      <c r="C129" s="131" t="s">
        <v>37</v>
      </c>
      <c r="D129" s="302" t="s">
        <v>128</v>
      </c>
      <c r="E129" s="302"/>
    </row>
    <row r="130" spans="1:10" x14ac:dyDescent="0.25">
      <c r="A130" s="41">
        <v>1</v>
      </c>
      <c r="B130" s="23">
        <v>21906</v>
      </c>
      <c r="C130" s="132">
        <v>280000</v>
      </c>
      <c r="D130" s="302"/>
      <c r="E130" s="302"/>
    </row>
    <row r="131" spans="1:10" x14ac:dyDescent="0.25">
      <c r="A131" s="41">
        <v>2</v>
      </c>
      <c r="B131" s="23">
        <v>21906</v>
      </c>
      <c r="C131" s="32"/>
      <c r="D131" s="290" t="s">
        <v>12</v>
      </c>
      <c r="E131" s="7">
        <v>25000</v>
      </c>
      <c r="J131" s="113"/>
    </row>
    <row r="132" spans="1:10" x14ac:dyDescent="0.25">
      <c r="A132" s="41">
        <v>3</v>
      </c>
      <c r="B132" s="23">
        <v>21906</v>
      </c>
      <c r="C132" s="32"/>
      <c r="D132" s="290" t="s">
        <v>12</v>
      </c>
      <c r="E132" s="7">
        <v>23000</v>
      </c>
    </row>
    <row r="133" spans="1:10" x14ac:dyDescent="0.25">
      <c r="A133" s="41">
        <v>4</v>
      </c>
      <c r="B133" s="23">
        <v>21906</v>
      </c>
      <c r="C133" s="32"/>
      <c r="D133" s="290" t="s">
        <v>129</v>
      </c>
      <c r="E133" s="7">
        <v>23000</v>
      </c>
    </row>
    <row r="134" spans="1:10" x14ac:dyDescent="0.25">
      <c r="A134" s="53">
        <v>5</v>
      </c>
      <c r="B134" s="23">
        <v>21906</v>
      </c>
      <c r="C134" s="32"/>
      <c r="D134" s="291"/>
      <c r="E134" s="2"/>
    </row>
    <row r="135" spans="1:10" x14ac:dyDescent="0.25">
      <c r="A135" s="2">
        <f t="shared" ref="A135:A150" si="14">A134+1</f>
        <v>6</v>
      </c>
      <c r="B135" s="23">
        <v>21906</v>
      </c>
      <c r="C135" s="2"/>
    </row>
    <row r="136" spans="1:10" x14ac:dyDescent="0.25">
      <c r="A136" s="2">
        <f t="shared" si="14"/>
        <v>7</v>
      </c>
      <c r="B136" s="23">
        <v>21906</v>
      </c>
      <c r="C136" s="2"/>
    </row>
    <row r="137" spans="1:10" x14ac:dyDescent="0.25">
      <c r="A137" s="2">
        <f t="shared" si="14"/>
        <v>8</v>
      </c>
      <c r="B137" s="23">
        <v>21906</v>
      </c>
      <c r="C137" s="2"/>
    </row>
    <row r="138" spans="1:10" x14ac:dyDescent="0.25">
      <c r="A138" s="2">
        <f t="shared" si="14"/>
        <v>9</v>
      </c>
      <c r="B138" s="23">
        <v>21906</v>
      </c>
      <c r="C138" s="2"/>
    </row>
    <row r="139" spans="1:10" x14ac:dyDescent="0.25">
      <c r="A139" s="2">
        <f t="shared" si="14"/>
        <v>10</v>
      </c>
      <c r="B139" s="23">
        <v>21906</v>
      </c>
      <c r="C139" s="2"/>
    </row>
    <row r="140" spans="1:10" x14ac:dyDescent="0.25">
      <c r="A140" s="2">
        <f t="shared" si="14"/>
        <v>11</v>
      </c>
      <c r="B140" s="23">
        <v>21906</v>
      </c>
      <c r="C140" s="2"/>
    </row>
    <row r="141" spans="1:10" x14ac:dyDescent="0.25">
      <c r="A141" s="2">
        <f t="shared" si="14"/>
        <v>12</v>
      </c>
      <c r="B141" s="23">
        <v>21906</v>
      </c>
      <c r="C141" s="2"/>
    </row>
    <row r="142" spans="1:10" x14ac:dyDescent="0.25">
      <c r="A142" s="2">
        <f t="shared" si="14"/>
        <v>13</v>
      </c>
      <c r="B142" s="23">
        <v>21906</v>
      </c>
      <c r="C142" s="2"/>
    </row>
    <row r="143" spans="1:10" x14ac:dyDescent="0.25">
      <c r="A143" s="2">
        <f t="shared" si="14"/>
        <v>14</v>
      </c>
      <c r="B143" s="23">
        <v>21906</v>
      </c>
      <c r="C143" s="2"/>
    </row>
    <row r="144" spans="1:10" x14ac:dyDescent="0.25">
      <c r="A144" s="2">
        <f t="shared" si="14"/>
        <v>15</v>
      </c>
      <c r="B144" s="23">
        <v>21906</v>
      </c>
      <c r="C144" s="2"/>
    </row>
    <row r="145" spans="1:6" x14ac:dyDescent="0.25">
      <c r="A145" s="2">
        <f t="shared" si="14"/>
        <v>16</v>
      </c>
      <c r="B145" s="23">
        <v>21906</v>
      </c>
      <c r="C145" s="2"/>
    </row>
    <row r="146" spans="1:6" x14ac:dyDescent="0.25">
      <c r="A146" s="2">
        <f t="shared" si="14"/>
        <v>17</v>
      </c>
      <c r="B146" s="23">
        <v>21906</v>
      </c>
      <c r="C146" s="2"/>
    </row>
    <row r="147" spans="1:6" x14ac:dyDescent="0.25">
      <c r="A147" s="2">
        <f t="shared" si="14"/>
        <v>18</v>
      </c>
      <c r="B147" s="23">
        <v>21906</v>
      </c>
      <c r="C147" s="2"/>
    </row>
    <row r="148" spans="1:6" x14ac:dyDescent="0.25">
      <c r="A148" s="2">
        <f t="shared" si="14"/>
        <v>19</v>
      </c>
      <c r="B148" s="23">
        <v>21906</v>
      </c>
      <c r="C148" s="2"/>
    </row>
    <row r="149" spans="1:6" x14ac:dyDescent="0.25">
      <c r="A149" s="2">
        <f t="shared" si="14"/>
        <v>20</v>
      </c>
      <c r="B149" s="23">
        <v>21906</v>
      </c>
      <c r="C149" s="2"/>
    </row>
    <row r="150" spans="1:6" x14ac:dyDescent="0.25">
      <c r="A150" s="2">
        <f t="shared" si="14"/>
        <v>21</v>
      </c>
      <c r="B150" s="23">
        <v>21906</v>
      </c>
      <c r="C150" s="2"/>
      <c r="F150" s="125"/>
    </row>
    <row r="151" spans="1:6" x14ac:dyDescent="0.25">
      <c r="A151" s="2">
        <f t="shared" ref="A151:A152" si="15">A150+1</f>
        <v>22</v>
      </c>
      <c r="B151" s="23">
        <v>21906</v>
      </c>
      <c r="C151" s="2"/>
      <c r="F151" s="109"/>
    </row>
    <row r="152" spans="1:6" x14ac:dyDescent="0.25">
      <c r="A152" s="2">
        <f t="shared" si="15"/>
        <v>23</v>
      </c>
      <c r="B152" s="23">
        <v>21906</v>
      </c>
      <c r="C152" s="2"/>
    </row>
    <row r="153" spans="1:6" x14ac:dyDescent="0.25">
      <c r="A153" s="2">
        <f>A152+1</f>
        <v>24</v>
      </c>
      <c r="B153" s="23">
        <v>21906</v>
      </c>
      <c r="C153" s="2"/>
    </row>
    <row r="161" spans="1:4" x14ac:dyDescent="0.25">
      <c r="A161" s="271" t="s">
        <v>51</v>
      </c>
    </row>
    <row r="162" spans="1:4" x14ac:dyDescent="0.25">
      <c r="A162" s="97" t="s">
        <v>43</v>
      </c>
      <c r="B162" s="95" t="s">
        <v>44</v>
      </c>
      <c r="C162" s="95" t="s">
        <v>45</v>
      </c>
      <c r="D162" s="95" t="s">
        <v>130</v>
      </c>
    </row>
    <row r="163" spans="1:4" x14ac:dyDescent="0.25">
      <c r="A163" s="129">
        <v>0</v>
      </c>
      <c r="B163" s="2">
        <f>E131+E132</f>
        <v>48000</v>
      </c>
      <c r="C163" s="130">
        <f>C130</f>
        <v>280000</v>
      </c>
      <c r="D163" s="130">
        <f>C163-B163</f>
        <v>232000</v>
      </c>
    </row>
    <row r="164" spans="1:4" x14ac:dyDescent="0.25">
      <c r="A164" s="129">
        <f>1</f>
        <v>1</v>
      </c>
      <c r="B164" s="23">
        <f t="shared" ref="B164:B186" si="16">B130</f>
        <v>21906</v>
      </c>
      <c r="C164" s="2"/>
      <c r="D164" s="130">
        <f t="shared" ref="D164:D187" si="17">C164-B164</f>
        <v>-21906</v>
      </c>
    </row>
    <row r="165" spans="1:4" x14ac:dyDescent="0.25">
      <c r="A165" s="129">
        <f>A164+1</f>
        <v>2</v>
      </c>
      <c r="B165" s="23">
        <f t="shared" si="16"/>
        <v>21906</v>
      </c>
      <c r="C165" s="2"/>
      <c r="D165" s="130">
        <f t="shared" si="17"/>
        <v>-21906</v>
      </c>
    </row>
    <row r="166" spans="1:4" x14ac:dyDescent="0.25">
      <c r="A166" s="129">
        <f t="shared" ref="A166:A186" si="18">A165+1</f>
        <v>3</v>
      </c>
      <c r="B166" s="23">
        <f t="shared" si="16"/>
        <v>21906</v>
      </c>
      <c r="C166" s="2"/>
      <c r="D166" s="130">
        <f t="shared" si="17"/>
        <v>-21906</v>
      </c>
    </row>
    <row r="167" spans="1:4" x14ac:dyDescent="0.25">
      <c r="A167" s="129">
        <f t="shared" si="18"/>
        <v>4</v>
      </c>
      <c r="B167" s="23">
        <f t="shared" si="16"/>
        <v>21906</v>
      </c>
      <c r="C167" s="2"/>
      <c r="D167" s="130">
        <f t="shared" si="17"/>
        <v>-21906</v>
      </c>
    </row>
    <row r="168" spans="1:4" x14ac:dyDescent="0.25">
      <c r="A168" s="129">
        <f t="shared" si="18"/>
        <v>5</v>
      </c>
      <c r="B168" s="23">
        <f t="shared" si="16"/>
        <v>21906</v>
      </c>
      <c r="C168" s="2"/>
      <c r="D168" s="130">
        <f t="shared" si="17"/>
        <v>-21906</v>
      </c>
    </row>
    <row r="169" spans="1:4" x14ac:dyDescent="0.25">
      <c r="A169" s="129">
        <f t="shared" si="18"/>
        <v>6</v>
      </c>
      <c r="B169" s="23">
        <f t="shared" si="16"/>
        <v>21906</v>
      </c>
      <c r="C169" s="2"/>
      <c r="D169" s="130">
        <f t="shared" si="17"/>
        <v>-21906</v>
      </c>
    </row>
    <row r="170" spans="1:4" x14ac:dyDescent="0.25">
      <c r="A170" s="129">
        <f t="shared" si="18"/>
        <v>7</v>
      </c>
      <c r="B170" s="23">
        <f t="shared" si="16"/>
        <v>21906</v>
      </c>
      <c r="C170" s="2"/>
      <c r="D170" s="130">
        <f t="shared" si="17"/>
        <v>-21906</v>
      </c>
    </row>
    <row r="171" spans="1:4" x14ac:dyDescent="0.25">
      <c r="A171" s="129">
        <f t="shared" si="18"/>
        <v>8</v>
      </c>
      <c r="B171" s="23">
        <f t="shared" si="16"/>
        <v>21906</v>
      </c>
      <c r="C171" s="2"/>
      <c r="D171" s="130">
        <f t="shared" si="17"/>
        <v>-21906</v>
      </c>
    </row>
    <row r="172" spans="1:4" x14ac:dyDescent="0.25">
      <c r="A172" s="129">
        <f t="shared" si="18"/>
        <v>9</v>
      </c>
      <c r="B172" s="23">
        <f t="shared" si="16"/>
        <v>21906</v>
      </c>
      <c r="C172" s="2"/>
      <c r="D172" s="130">
        <f t="shared" si="17"/>
        <v>-21906</v>
      </c>
    </row>
    <row r="173" spans="1:4" x14ac:dyDescent="0.25">
      <c r="A173" s="129">
        <f t="shared" si="18"/>
        <v>10</v>
      </c>
      <c r="B173" s="23">
        <f t="shared" si="16"/>
        <v>21906</v>
      </c>
      <c r="C173" s="2"/>
      <c r="D173" s="130">
        <f t="shared" si="17"/>
        <v>-21906</v>
      </c>
    </row>
    <row r="174" spans="1:4" x14ac:dyDescent="0.25">
      <c r="A174" s="129">
        <f t="shared" si="18"/>
        <v>11</v>
      </c>
      <c r="B174" s="23">
        <f t="shared" si="16"/>
        <v>21906</v>
      </c>
      <c r="C174" s="2"/>
      <c r="D174" s="130">
        <f t="shared" si="17"/>
        <v>-21906</v>
      </c>
    </row>
    <row r="175" spans="1:4" x14ac:dyDescent="0.25">
      <c r="A175" s="129">
        <f t="shared" si="18"/>
        <v>12</v>
      </c>
      <c r="B175" s="23">
        <f t="shared" si="16"/>
        <v>21906</v>
      </c>
      <c r="C175" s="2"/>
      <c r="D175" s="130">
        <f t="shared" si="17"/>
        <v>-21906</v>
      </c>
    </row>
    <row r="176" spans="1:4" x14ac:dyDescent="0.25">
      <c r="A176" s="129">
        <f t="shared" si="18"/>
        <v>13</v>
      </c>
      <c r="B176" s="23">
        <f t="shared" si="16"/>
        <v>21906</v>
      </c>
      <c r="C176" s="2"/>
      <c r="D176" s="130">
        <f t="shared" si="17"/>
        <v>-21906</v>
      </c>
    </row>
    <row r="177" spans="1:4" x14ac:dyDescent="0.25">
      <c r="A177" s="129">
        <f t="shared" si="18"/>
        <v>14</v>
      </c>
      <c r="B177" s="23">
        <f t="shared" si="16"/>
        <v>21906</v>
      </c>
      <c r="C177" s="2"/>
      <c r="D177" s="130">
        <f t="shared" si="17"/>
        <v>-21906</v>
      </c>
    </row>
    <row r="178" spans="1:4" x14ac:dyDescent="0.25">
      <c r="A178" s="129">
        <f t="shared" si="18"/>
        <v>15</v>
      </c>
      <c r="B178" s="23">
        <f t="shared" si="16"/>
        <v>21906</v>
      </c>
      <c r="C178" s="2"/>
      <c r="D178" s="130">
        <f t="shared" si="17"/>
        <v>-21906</v>
      </c>
    </row>
    <row r="179" spans="1:4" x14ac:dyDescent="0.25">
      <c r="A179" s="129">
        <f t="shared" si="18"/>
        <v>16</v>
      </c>
      <c r="B179" s="23">
        <f t="shared" si="16"/>
        <v>21906</v>
      </c>
      <c r="C179" s="2"/>
      <c r="D179" s="130">
        <f t="shared" si="17"/>
        <v>-21906</v>
      </c>
    </row>
    <row r="180" spans="1:4" x14ac:dyDescent="0.25">
      <c r="A180" s="129">
        <f t="shared" si="18"/>
        <v>17</v>
      </c>
      <c r="B180" s="23">
        <f t="shared" si="16"/>
        <v>21906</v>
      </c>
      <c r="C180" s="2"/>
      <c r="D180" s="130">
        <f t="shared" si="17"/>
        <v>-21906</v>
      </c>
    </row>
    <row r="181" spans="1:4" x14ac:dyDescent="0.25">
      <c r="A181" s="129">
        <f t="shared" si="18"/>
        <v>18</v>
      </c>
      <c r="B181" s="23">
        <f t="shared" si="16"/>
        <v>21906</v>
      </c>
      <c r="C181" s="2"/>
      <c r="D181" s="130">
        <f t="shared" si="17"/>
        <v>-21906</v>
      </c>
    </row>
    <row r="182" spans="1:4" x14ac:dyDescent="0.25">
      <c r="A182" s="129">
        <f t="shared" si="18"/>
        <v>19</v>
      </c>
      <c r="B182" s="23">
        <f t="shared" si="16"/>
        <v>21906</v>
      </c>
      <c r="C182" s="2"/>
      <c r="D182" s="130">
        <f t="shared" si="17"/>
        <v>-21906</v>
      </c>
    </row>
    <row r="183" spans="1:4" x14ac:dyDescent="0.25">
      <c r="A183" s="129">
        <f t="shared" si="18"/>
        <v>20</v>
      </c>
      <c r="B183" s="23">
        <f t="shared" si="16"/>
        <v>21906</v>
      </c>
      <c r="C183" s="2"/>
      <c r="D183" s="130">
        <f t="shared" si="17"/>
        <v>-21906</v>
      </c>
    </row>
    <row r="184" spans="1:4" x14ac:dyDescent="0.25">
      <c r="A184" s="129">
        <f t="shared" si="18"/>
        <v>21</v>
      </c>
      <c r="B184" s="23">
        <f t="shared" si="16"/>
        <v>21906</v>
      </c>
      <c r="C184" s="2"/>
      <c r="D184" s="130">
        <f t="shared" si="17"/>
        <v>-21906</v>
      </c>
    </row>
    <row r="185" spans="1:4" x14ac:dyDescent="0.25">
      <c r="A185" s="129">
        <f t="shared" si="18"/>
        <v>22</v>
      </c>
      <c r="B185" s="23">
        <f t="shared" si="16"/>
        <v>21906</v>
      </c>
      <c r="C185" s="2"/>
      <c r="D185" s="130">
        <f t="shared" si="17"/>
        <v>-21906</v>
      </c>
    </row>
    <row r="186" spans="1:4" x14ac:dyDescent="0.25">
      <c r="A186" s="129">
        <f t="shared" si="18"/>
        <v>23</v>
      </c>
      <c r="B186" s="23">
        <f t="shared" si="16"/>
        <v>21906</v>
      </c>
      <c r="C186" s="2"/>
      <c r="D186" s="130">
        <f t="shared" si="17"/>
        <v>-21906</v>
      </c>
    </row>
    <row r="187" spans="1:4" x14ac:dyDescent="0.25">
      <c r="A187" s="129">
        <f>A186+1</f>
        <v>24</v>
      </c>
      <c r="B187" s="23">
        <f>B153+E133</f>
        <v>44906</v>
      </c>
      <c r="C187" s="2"/>
      <c r="D187" s="130">
        <f t="shared" si="17"/>
        <v>-44906</v>
      </c>
    </row>
    <row r="188" spans="1:4" ht="45" x14ac:dyDescent="0.25">
      <c r="C188" s="292" t="s">
        <v>132</v>
      </c>
      <c r="D188" s="293">
        <f>IRR(D163:D187)</f>
        <v>8.1141706454674445E-2</v>
      </c>
    </row>
    <row r="192" spans="1:4" x14ac:dyDescent="0.25">
      <c r="A192" s="155" t="s">
        <v>195</v>
      </c>
      <c r="B192" s="155"/>
    </row>
    <row r="194" spans="1:4" x14ac:dyDescent="0.25">
      <c r="A194" s="97" t="s">
        <v>43</v>
      </c>
      <c r="B194" s="95" t="s">
        <v>44</v>
      </c>
      <c r="C194" s="95" t="s">
        <v>45</v>
      </c>
      <c r="D194" s="95" t="s">
        <v>130</v>
      </c>
    </row>
    <row r="195" spans="1:4" x14ac:dyDescent="0.25">
      <c r="A195" s="129">
        <v>0</v>
      </c>
      <c r="B195" s="23"/>
      <c r="C195" s="130">
        <f>C130</f>
        <v>280000</v>
      </c>
      <c r="D195" s="130">
        <f>C195-B195</f>
        <v>280000</v>
      </c>
    </row>
    <row r="196" spans="1:4" x14ac:dyDescent="0.25">
      <c r="A196" s="129">
        <f>1</f>
        <v>1</v>
      </c>
      <c r="B196" s="23">
        <f t="shared" ref="B196:B219" si="19">B130</f>
        <v>21906</v>
      </c>
      <c r="C196" s="2"/>
      <c r="D196" s="130">
        <f t="shared" ref="D196:D219" si="20">C196-B196</f>
        <v>-21906</v>
      </c>
    </row>
    <row r="197" spans="1:4" x14ac:dyDescent="0.25">
      <c r="A197" s="129">
        <f>A196+1</f>
        <v>2</v>
      </c>
      <c r="B197" s="23">
        <f t="shared" si="19"/>
        <v>21906</v>
      </c>
      <c r="C197" s="2"/>
      <c r="D197" s="130">
        <f t="shared" si="20"/>
        <v>-21906</v>
      </c>
    </row>
    <row r="198" spans="1:4" x14ac:dyDescent="0.25">
      <c r="A198" s="129">
        <f t="shared" ref="A198:A218" si="21">A197+1</f>
        <v>3</v>
      </c>
      <c r="B198" s="23">
        <f t="shared" si="19"/>
        <v>21906</v>
      </c>
      <c r="C198" s="2"/>
      <c r="D198" s="130">
        <f t="shared" si="20"/>
        <v>-21906</v>
      </c>
    </row>
    <row r="199" spans="1:4" x14ac:dyDescent="0.25">
      <c r="A199" s="129">
        <f t="shared" si="21"/>
        <v>4</v>
      </c>
      <c r="B199" s="23">
        <f t="shared" si="19"/>
        <v>21906</v>
      </c>
      <c r="C199" s="2"/>
      <c r="D199" s="130">
        <f t="shared" si="20"/>
        <v>-21906</v>
      </c>
    </row>
    <row r="200" spans="1:4" x14ac:dyDescent="0.25">
      <c r="A200" s="129">
        <f t="shared" si="21"/>
        <v>5</v>
      </c>
      <c r="B200" s="23">
        <f t="shared" si="19"/>
        <v>21906</v>
      </c>
      <c r="C200" s="2"/>
      <c r="D200" s="130">
        <f t="shared" si="20"/>
        <v>-21906</v>
      </c>
    </row>
    <row r="201" spans="1:4" x14ac:dyDescent="0.25">
      <c r="A201" s="129">
        <f t="shared" si="21"/>
        <v>6</v>
      </c>
      <c r="B201" s="23">
        <f t="shared" si="19"/>
        <v>21906</v>
      </c>
      <c r="C201" s="2"/>
      <c r="D201" s="130">
        <f t="shared" si="20"/>
        <v>-21906</v>
      </c>
    </row>
    <row r="202" spans="1:4" x14ac:dyDescent="0.25">
      <c r="A202" s="129">
        <f t="shared" si="21"/>
        <v>7</v>
      </c>
      <c r="B202" s="23">
        <f t="shared" si="19"/>
        <v>21906</v>
      </c>
      <c r="C202" s="2"/>
      <c r="D202" s="130">
        <f t="shared" si="20"/>
        <v>-21906</v>
      </c>
    </row>
    <row r="203" spans="1:4" x14ac:dyDescent="0.25">
      <c r="A203" s="129">
        <f t="shared" si="21"/>
        <v>8</v>
      </c>
      <c r="B203" s="23">
        <f t="shared" si="19"/>
        <v>21906</v>
      </c>
      <c r="C203" s="2"/>
      <c r="D203" s="130">
        <f t="shared" si="20"/>
        <v>-21906</v>
      </c>
    </row>
    <row r="204" spans="1:4" x14ac:dyDescent="0.25">
      <c r="A204" s="129">
        <f t="shared" si="21"/>
        <v>9</v>
      </c>
      <c r="B204" s="23">
        <f t="shared" si="19"/>
        <v>21906</v>
      </c>
      <c r="C204" s="2"/>
      <c r="D204" s="130">
        <f t="shared" si="20"/>
        <v>-21906</v>
      </c>
    </row>
    <row r="205" spans="1:4" x14ac:dyDescent="0.25">
      <c r="A205" s="129">
        <f t="shared" si="21"/>
        <v>10</v>
      </c>
      <c r="B205" s="23">
        <f t="shared" si="19"/>
        <v>21906</v>
      </c>
      <c r="C205" s="2"/>
      <c r="D205" s="130">
        <f t="shared" si="20"/>
        <v>-21906</v>
      </c>
    </row>
    <row r="206" spans="1:4" x14ac:dyDescent="0.25">
      <c r="A206" s="129">
        <f t="shared" si="21"/>
        <v>11</v>
      </c>
      <c r="B206" s="23">
        <f t="shared" si="19"/>
        <v>21906</v>
      </c>
      <c r="C206" s="2"/>
      <c r="D206" s="130">
        <f t="shared" si="20"/>
        <v>-21906</v>
      </c>
    </row>
    <row r="207" spans="1:4" x14ac:dyDescent="0.25">
      <c r="A207" s="129">
        <f t="shared" si="21"/>
        <v>12</v>
      </c>
      <c r="B207" s="23">
        <f t="shared" si="19"/>
        <v>21906</v>
      </c>
      <c r="C207" s="2"/>
      <c r="D207" s="130">
        <f t="shared" si="20"/>
        <v>-21906</v>
      </c>
    </row>
    <row r="208" spans="1:4" x14ac:dyDescent="0.25">
      <c r="A208" s="129">
        <f t="shared" si="21"/>
        <v>13</v>
      </c>
      <c r="B208" s="23">
        <f t="shared" si="19"/>
        <v>21906</v>
      </c>
      <c r="C208" s="2"/>
      <c r="D208" s="130">
        <f t="shared" si="20"/>
        <v>-21906</v>
      </c>
    </row>
    <row r="209" spans="1:4" x14ac:dyDescent="0.25">
      <c r="A209" s="129">
        <f t="shared" si="21"/>
        <v>14</v>
      </c>
      <c r="B209" s="23">
        <f t="shared" si="19"/>
        <v>21906</v>
      </c>
      <c r="C209" s="2"/>
      <c r="D209" s="130">
        <f t="shared" si="20"/>
        <v>-21906</v>
      </c>
    </row>
    <row r="210" spans="1:4" x14ac:dyDescent="0.25">
      <c r="A210" s="129">
        <f t="shared" si="21"/>
        <v>15</v>
      </c>
      <c r="B210" s="23">
        <f t="shared" si="19"/>
        <v>21906</v>
      </c>
      <c r="C210" s="2"/>
      <c r="D210" s="130">
        <f t="shared" si="20"/>
        <v>-21906</v>
      </c>
    </row>
    <row r="211" spans="1:4" x14ac:dyDescent="0.25">
      <c r="A211" s="129">
        <f t="shared" si="21"/>
        <v>16</v>
      </c>
      <c r="B211" s="23">
        <f t="shared" si="19"/>
        <v>21906</v>
      </c>
      <c r="C211" s="2"/>
      <c r="D211" s="130">
        <f t="shared" si="20"/>
        <v>-21906</v>
      </c>
    </row>
    <row r="212" spans="1:4" x14ac:dyDescent="0.25">
      <c r="A212" s="129">
        <f t="shared" si="21"/>
        <v>17</v>
      </c>
      <c r="B212" s="23">
        <f t="shared" si="19"/>
        <v>21906</v>
      </c>
      <c r="C212" s="2"/>
      <c r="D212" s="130">
        <f t="shared" si="20"/>
        <v>-21906</v>
      </c>
    </row>
    <row r="213" spans="1:4" x14ac:dyDescent="0.25">
      <c r="A213" s="129">
        <f t="shared" si="21"/>
        <v>18</v>
      </c>
      <c r="B213" s="23">
        <f t="shared" si="19"/>
        <v>21906</v>
      </c>
      <c r="C213" s="2"/>
      <c r="D213" s="130">
        <f t="shared" si="20"/>
        <v>-21906</v>
      </c>
    </row>
    <row r="214" spans="1:4" x14ac:dyDescent="0.25">
      <c r="A214" s="129">
        <f t="shared" si="21"/>
        <v>19</v>
      </c>
      <c r="B214" s="23">
        <f t="shared" si="19"/>
        <v>21906</v>
      </c>
      <c r="C214" s="2"/>
      <c r="D214" s="130">
        <f t="shared" si="20"/>
        <v>-21906</v>
      </c>
    </row>
    <row r="215" spans="1:4" x14ac:dyDescent="0.25">
      <c r="A215" s="129">
        <f t="shared" si="21"/>
        <v>20</v>
      </c>
      <c r="B215" s="23">
        <f t="shared" si="19"/>
        <v>21906</v>
      </c>
      <c r="C215" s="2"/>
      <c r="D215" s="130">
        <f t="shared" si="20"/>
        <v>-21906</v>
      </c>
    </row>
    <row r="216" spans="1:4" x14ac:dyDescent="0.25">
      <c r="A216" s="129">
        <f t="shared" si="21"/>
        <v>21</v>
      </c>
      <c r="B216" s="23">
        <f t="shared" si="19"/>
        <v>21906</v>
      </c>
      <c r="C216" s="2"/>
      <c r="D216" s="130">
        <f t="shared" si="20"/>
        <v>-21906</v>
      </c>
    </row>
    <row r="217" spans="1:4" x14ac:dyDescent="0.25">
      <c r="A217" s="129">
        <f t="shared" si="21"/>
        <v>22</v>
      </c>
      <c r="B217" s="23">
        <f t="shared" si="19"/>
        <v>21906</v>
      </c>
      <c r="C217" s="2"/>
      <c r="D217" s="130">
        <f t="shared" si="20"/>
        <v>-21906</v>
      </c>
    </row>
    <row r="218" spans="1:4" x14ac:dyDescent="0.25">
      <c r="A218" s="129">
        <f t="shared" si="21"/>
        <v>23</v>
      </c>
      <c r="B218" s="23">
        <f t="shared" si="19"/>
        <v>21906</v>
      </c>
      <c r="C218" s="2"/>
      <c r="D218" s="130">
        <f t="shared" si="20"/>
        <v>-21906</v>
      </c>
    </row>
    <row r="219" spans="1:4" x14ac:dyDescent="0.25">
      <c r="A219" s="129">
        <f>A218+1</f>
        <v>24</v>
      </c>
      <c r="B219" s="23">
        <f t="shared" si="19"/>
        <v>21906</v>
      </c>
      <c r="C219" s="2"/>
      <c r="D219" s="130">
        <f t="shared" si="20"/>
        <v>-21906</v>
      </c>
    </row>
    <row r="221" spans="1:4" x14ac:dyDescent="0.25">
      <c r="C221" s="127" t="s">
        <v>131</v>
      </c>
      <c r="D221" s="133">
        <f>IRR(D195:D219)</f>
        <v>5.8031780125305188E-2</v>
      </c>
    </row>
    <row r="225" spans="1:4" x14ac:dyDescent="0.25">
      <c r="A225" s="81" t="s">
        <v>133</v>
      </c>
    </row>
    <row r="226" spans="1:4" x14ac:dyDescent="0.25">
      <c r="A226" s="238" t="s">
        <v>139</v>
      </c>
    </row>
    <row r="227" spans="1:4" x14ac:dyDescent="0.25">
      <c r="A227" s="135" t="s">
        <v>134</v>
      </c>
    </row>
    <row r="228" spans="1:4" x14ac:dyDescent="0.25">
      <c r="A228" s="128" t="s">
        <v>136</v>
      </c>
      <c r="B228" s="128"/>
      <c r="C228" s="140">
        <f>SUM(C231:C240)+B230</f>
        <v>9000000</v>
      </c>
      <c r="D228" s="141">
        <f>SUM(D230:D240)</f>
        <v>10500000</v>
      </c>
    </row>
    <row r="229" spans="1:4" x14ac:dyDescent="0.25">
      <c r="A229" s="94" t="s">
        <v>42</v>
      </c>
      <c r="B229" s="95" t="s">
        <v>101</v>
      </c>
      <c r="C229" s="95" t="s">
        <v>36</v>
      </c>
      <c r="D229" s="95" t="s">
        <v>37</v>
      </c>
    </row>
    <row r="230" spans="1:4" x14ac:dyDescent="0.25">
      <c r="A230" s="41">
        <v>1</v>
      </c>
      <c r="B230" s="7">
        <v>7000000</v>
      </c>
      <c r="C230" s="23"/>
      <c r="D230" s="7">
        <v>500000</v>
      </c>
    </row>
    <row r="231" spans="1:4" x14ac:dyDescent="0.25">
      <c r="A231" s="41">
        <f>A230+1</f>
        <v>2</v>
      </c>
      <c r="B231" s="2"/>
      <c r="C231" s="23">
        <v>200000</v>
      </c>
      <c r="D231" s="32">
        <v>1000000</v>
      </c>
    </row>
    <row r="232" spans="1:4" x14ac:dyDescent="0.25">
      <c r="A232" s="41">
        <f t="shared" ref="A232:A240" si="22">A231+1</f>
        <v>3</v>
      </c>
      <c r="B232" s="2"/>
      <c r="C232" s="23">
        <v>200000</v>
      </c>
      <c r="D232" s="32">
        <v>1000000</v>
      </c>
    </row>
    <row r="233" spans="1:4" x14ac:dyDescent="0.25">
      <c r="A233" s="41">
        <f t="shared" si="22"/>
        <v>4</v>
      </c>
      <c r="B233" s="2"/>
      <c r="C233" s="23">
        <v>200000</v>
      </c>
      <c r="D233" s="32">
        <v>1000000</v>
      </c>
    </row>
    <row r="234" spans="1:4" x14ac:dyDescent="0.25">
      <c r="A234" s="41">
        <f t="shared" si="22"/>
        <v>5</v>
      </c>
      <c r="B234" s="2"/>
      <c r="C234" s="23">
        <v>200000</v>
      </c>
      <c r="D234" s="32">
        <v>1000000</v>
      </c>
    </row>
    <row r="235" spans="1:4" x14ac:dyDescent="0.25">
      <c r="A235" s="41">
        <f t="shared" si="22"/>
        <v>6</v>
      </c>
      <c r="B235" s="2"/>
      <c r="C235" s="23">
        <v>200000</v>
      </c>
      <c r="D235" s="32">
        <v>1000000</v>
      </c>
    </row>
    <row r="236" spans="1:4" x14ac:dyDescent="0.25">
      <c r="A236" s="41">
        <f t="shared" si="22"/>
        <v>7</v>
      </c>
      <c r="B236" s="2"/>
      <c r="C236" s="23">
        <v>200000</v>
      </c>
      <c r="D236" s="32">
        <v>1000000</v>
      </c>
    </row>
    <row r="237" spans="1:4" x14ac:dyDescent="0.25">
      <c r="A237" s="41">
        <f t="shared" si="22"/>
        <v>8</v>
      </c>
      <c r="B237" s="2"/>
      <c r="C237" s="23">
        <v>200000</v>
      </c>
      <c r="D237" s="32">
        <v>1000000</v>
      </c>
    </row>
    <row r="238" spans="1:4" x14ac:dyDescent="0.25">
      <c r="A238" s="41">
        <f t="shared" si="22"/>
        <v>9</v>
      </c>
      <c r="B238" s="2"/>
      <c r="C238" s="23">
        <v>200000</v>
      </c>
      <c r="D238" s="32">
        <v>1000000</v>
      </c>
    </row>
    <row r="239" spans="1:4" x14ac:dyDescent="0.25">
      <c r="A239" s="41">
        <f t="shared" si="22"/>
        <v>10</v>
      </c>
      <c r="B239" s="2"/>
      <c r="C239" s="23">
        <v>200000</v>
      </c>
      <c r="D239" s="32">
        <v>1000000</v>
      </c>
    </row>
    <row r="240" spans="1:4" x14ac:dyDescent="0.25">
      <c r="A240" s="41">
        <f t="shared" si="22"/>
        <v>11</v>
      </c>
      <c r="B240" s="2"/>
      <c r="C240" s="23">
        <v>200000</v>
      </c>
      <c r="D240" s="32">
        <v>1000000</v>
      </c>
    </row>
    <row r="241" spans="1:4" x14ac:dyDescent="0.25">
      <c r="A241" s="136" t="s">
        <v>51</v>
      </c>
    </row>
    <row r="242" spans="1:4" x14ac:dyDescent="0.25">
      <c r="A242" s="94" t="s">
        <v>43</v>
      </c>
      <c r="B242" s="95" t="s">
        <v>36</v>
      </c>
      <c r="C242" s="95" t="s">
        <v>37</v>
      </c>
      <c r="D242" s="95" t="s">
        <v>119</v>
      </c>
    </row>
    <row r="243" spans="1:4" x14ac:dyDescent="0.25">
      <c r="A243" s="41">
        <v>0</v>
      </c>
      <c r="B243" s="23">
        <f>B230/2</f>
        <v>3500000</v>
      </c>
      <c r="C243" s="7">
        <f>D230</f>
        <v>500000</v>
      </c>
      <c r="D243" s="130">
        <f>C243-B243</f>
        <v>-3000000</v>
      </c>
    </row>
    <row r="244" spans="1:4" x14ac:dyDescent="0.25">
      <c r="A244" s="41">
        <f>A243+1</f>
        <v>1</v>
      </c>
      <c r="B244" s="23">
        <f>B230/2+C231/2</f>
        <v>3600000</v>
      </c>
      <c r="C244" s="32">
        <f>D231/2</f>
        <v>500000</v>
      </c>
      <c r="D244" s="130">
        <f t="shared" ref="D244:D254" si="23">C244-B244</f>
        <v>-3100000</v>
      </c>
    </row>
    <row r="245" spans="1:4" x14ac:dyDescent="0.25">
      <c r="A245" s="41">
        <f t="shared" ref="A245:A254" si="24">A244+1</f>
        <v>2</v>
      </c>
      <c r="B245" s="23">
        <f>C231/2+C232/2</f>
        <v>200000</v>
      </c>
      <c r="C245" s="32">
        <f>D231/2+D232/2</f>
        <v>1000000</v>
      </c>
      <c r="D245" s="130">
        <f t="shared" si="23"/>
        <v>800000</v>
      </c>
    </row>
    <row r="246" spans="1:4" x14ac:dyDescent="0.25">
      <c r="A246" s="41">
        <f t="shared" si="24"/>
        <v>3</v>
      </c>
      <c r="B246" s="23">
        <f t="shared" ref="B246:B254" si="25">C232/2+C233/2</f>
        <v>200000</v>
      </c>
      <c r="C246" s="32">
        <f t="shared" ref="C246:C253" si="26">D232/2+D233/2</f>
        <v>1000000</v>
      </c>
      <c r="D246" s="130">
        <f t="shared" si="23"/>
        <v>800000</v>
      </c>
    </row>
    <row r="247" spans="1:4" x14ac:dyDescent="0.25">
      <c r="A247" s="41">
        <f t="shared" si="24"/>
        <v>4</v>
      </c>
      <c r="B247" s="23">
        <f t="shared" si="25"/>
        <v>200000</v>
      </c>
      <c r="C247" s="32">
        <f t="shared" si="26"/>
        <v>1000000</v>
      </c>
      <c r="D247" s="130">
        <f t="shared" si="23"/>
        <v>800000</v>
      </c>
    </row>
    <row r="248" spans="1:4" x14ac:dyDescent="0.25">
      <c r="A248" s="41">
        <f t="shared" si="24"/>
        <v>5</v>
      </c>
      <c r="B248" s="23">
        <f t="shared" si="25"/>
        <v>200000</v>
      </c>
      <c r="C248" s="32">
        <f t="shared" si="26"/>
        <v>1000000</v>
      </c>
      <c r="D248" s="130">
        <f t="shared" si="23"/>
        <v>800000</v>
      </c>
    </row>
    <row r="249" spans="1:4" x14ac:dyDescent="0.25">
      <c r="A249" s="41">
        <f t="shared" si="24"/>
        <v>6</v>
      </c>
      <c r="B249" s="23">
        <f t="shared" si="25"/>
        <v>200000</v>
      </c>
      <c r="C249" s="32">
        <f t="shared" si="26"/>
        <v>1000000</v>
      </c>
      <c r="D249" s="130">
        <f t="shared" si="23"/>
        <v>800000</v>
      </c>
    </row>
    <row r="250" spans="1:4" x14ac:dyDescent="0.25">
      <c r="A250" s="41">
        <f t="shared" si="24"/>
        <v>7</v>
      </c>
      <c r="B250" s="23">
        <f t="shared" si="25"/>
        <v>200000</v>
      </c>
      <c r="C250" s="32">
        <f t="shared" si="26"/>
        <v>1000000</v>
      </c>
      <c r="D250" s="130">
        <f t="shared" si="23"/>
        <v>800000</v>
      </c>
    </row>
    <row r="251" spans="1:4" x14ac:dyDescent="0.25">
      <c r="A251" s="41">
        <f t="shared" si="24"/>
        <v>8</v>
      </c>
      <c r="B251" s="23">
        <f t="shared" si="25"/>
        <v>200000</v>
      </c>
      <c r="C251" s="32">
        <f t="shared" si="26"/>
        <v>1000000</v>
      </c>
      <c r="D251" s="130">
        <f t="shared" si="23"/>
        <v>800000</v>
      </c>
    </row>
    <row r="252" spans="1:4" x14ac:dyDescent="0.25">
      <c r="A252" s="41">
        <f t="shared" si="24"/>
        <v>9</v>
      </c>
      <c r="B252" s="23">
        <f t="shared" si="25"/>
        <v>200000</v>
      </c>
      <c r="C252" s="32">
        <f t="shared" si="26"/>
        <v>1000000</v>
      </c>
      <c r="D252" s="130">
        <f t="shared" si="23"/>
        <v>800000</v>
      </c>
    </row>
    <row r="253" spans="1:4" x14ac:dyDescent="0.25">
      <c r="A253" s="41">
        <f t="shared" si="24"/>
        <v>10</v>
      </c>
      <c r="B253" s="23">
        <f t="shared" si="25"/>
        <v>200000</v>
      </c>
      <c r="C253" s="32">
        <f t="shared" si="26"/>
        <v>1000000</v>
      </c>
      <c r="D253" s="130">
        <f t="shared" si="23"/>
        <v>800000</v>
      </c>
    </row>
    <row r="254" spans="1:4" x14ac:dyDescent="0.25">
      <c r="A254" s="41">
        <f t="shared" si="24"/>
        <v>11</v>
      </c>
      <c r="B254" s="23">
        <f t="shared" si="25"/>
        <v>100000</v>
      </c>
      <c r="C254" s="32">
        <f>D240/2+D241/2</f>
        <v>500000</v>
      </c>
      <c r="D254" s="130">
        <f t="shared" si="23"/>
        <v>400000</v>
      </c>
    </row>
    <row r="255" spans="1:4" x14ac:dyDescent="0.25">
      <c r="A255" s="1" t="s">
        <v>136</v>
      </c>
      <c r="B255" s="139">
        <f>SUM(B243:B254)</f>
        <v>9000000</v>
      </c>
      <c r="C255" s="138">
        <f>SUM(C243:C254)</f>
        <v>10500000</v>
      </c>
      <c r="D255" s="137"/>
    </row>
    <row r="256" spans="1:4" x14ac:dyDescent="0.25">
      <c r="C256" s="82" t="s">
        <v>13</v>
      </c>
      <c r="D256" s="116">
        <f>IRR(D243:D254)</f>
        <v>3.9953863618317653E-2</v>
      </c>
    </row>
    <row r="258" spans="1:4" x14ac:dyDescent="0.25">
      <c r="A258" s="135" t="s">
        <v>135</v>
      </c>
    </row>
    <row r="259" spans="1:4" x14ac:dyDescent="0.25">
      <c r="A259" s="128" t="s">
        <v>136</v>
      </c>
      <c r="B259" s="128"/>
      <c r="C259" s="142">
        <f>SUM(C262:C271)+SUM(B261:B263)</f>
        <v>9500000</v>
      </c>
      <c r="D259" s="143">
        <f>SUM(D262:D271)</f>
        <v>10000000</v>
      </c>
    </row>
    <row r="260" spans="1:4" x14ac:dyDescent="0.25">
      <c r="A260" s="94" t="s">
        <v>42</v>
      </c>
      <c r="B260" s="95" t="s">
        <v>101</v>
      </c>
      <c r="C260" s="95" t="s">
        <v>36</v>
      </c>
      <c r="D260" s="95" t="s">
        <v>37</v>
      </c>
    </row>
    <row r="261" spans="1:4" x14ac:dyDescent="0.25">
      <c r="A261" s="41">
        <v>1</v>
      </c>
      <c r="B261" s="7">
        <v>5500000</v>
      </c>
      <c r="C261" s="23"/>
      <c r="D261" s="7"/>
    </row>
    <row r="262" spans="1:4" x14ac:dyDescent="0.25">
      <c r="A262" s="41">
        <f>A261+1</f>
        <v>2</v>
      </c>
      <c r="B262" s="2"/>
      <c r="C262" s="23">
        <v>300000</v>
      </c>
      <c r="D262" s="32">
        <v>1000000</v>
      </c>
    </row>
    <row r="263" spans="1:4" x14ac:dyDescent="0.25">
      <c r="A263" s="41">
        <f t="shared" ref="A263:A271" si="27">A262+1</f>
        <v>3</v>
      </c>
      <c r="B263" s="7">
        <v>1000000</v>
      </c>
      <c r="C263" s="23">
        <v>300000</v>
      </c>
      <c r="D263" s="32">
        <v>1000000</v>
      </c>
    </row>
    <row r="264" spans="1:4" x14ac:dyDescent="0.25">
      <c r="A264" s="41">
        <f t="shared" si="27"/>
        <v>4</v>
      </c>
      <c r="B264" s="2"/>
      <c r="C264" s="23">
        <v>300000</v>
      </c>
      <c r="D264" s="32">
        <v>1000000</v>
      </c>
    </row>
    <row r="265" spans="1:4" x14ac:dyDescent="0.25">
      <c r="A265" s="41">
        <f t="shared" si="27"/>
        <v>5</v>
      </c>
      <c r="B265" s="2"/>
      <c r="C265" s="23">
        <v>300000</v>
      </c>
      <c r="D265" s="32">
        <v>1000000</v>
      </c>
    </row>
    <row r="266" spans="1:4" x14ac:dyDescent="0.25">
      <c r="A266" s="41">
        <f t="shared" si="27"/>
        <v>6</v>
      </c>
      <c r="B266" s="2"/>
      <c r="C266" s="23">
        <v>300000</v>
      </c>
      <c r="D266" s="32">
        <v>1000000</v>
      </c>
    </row>
    <row r="267" spans="1:4" x14ac:dyDescent="0.25">
      <c r="A267" s="41">
        <f t="shared" si="27"/>
        <v>7</v>
      </c>
      <c r="B267" s="2"/>
      <c r="C267" s="23">
        <v>300000</v>
      </c>
      <c r="D267" s="32">
        <v>1000000</v>
      </c>
    </row>
    <row r="268" spans="1:4" x14ac:dyDescent="0.25">
      <c r="A268" s="41">
        <f t="shared" si="27"/>
        <v>8</v>
      </c>
      <c r="B268" s="2"/>
      <c r="C268" s="23">
        <v>300000</v>
      </c>
      <c r="D268" s="32">
        <v>1000000</v>
      </c>
    </row>
    <row r="269" spans="1:4" x14ac:dyDescent="0.25">
      <c r="A269" s="41">
        <f t="shared" si="27"/>
        <v>9</v>
      </c>
      <c r="B269" s="2"/>
      <c r="C269" s="23">
        <v>300000</v>
      </c>
      <c r="D269" s="32">
        <v>1000000</v>
      </c>
    </row>
    <row r="270" spans="1:4" x14ac:dyDescent="0.25">
      <c r="A270" s="41">
        <f t="shared" si="27"/>
        <v>10</v>
      </c>
      <c r="B270" s="2"/>
      <c r="C270" s="23">
        <v>300000</v>
      </c>
      <c r="D270" s="32">
        <v>1000000</v>
      </c>
    </row>
    <row r="271" spans="1:4" x14ac:dyDescent="0.25">
      <c r="A271" s="41">
        <f t="shared" si="27"/>
        <v>11</v>
      </c>
      <c r="B271" s="2"/>
      <c r="C271" s="23">
        <v>300000</v>
      </c>
      <c r="D271" s="32">
        <v>1000000</v>
      </c>
    </row>
    <row r="272" spans="1:4" x14ac:dyDescent="0.25">
      <c r="A272" s="134" t="s">
        <v>51</v>
      </c>
    </row>
    <row r="273" spans="1:7" x14ac:dyDescent="0.25">
      <c r="A273" s="94" t="s">
        <v>43</v>
      </c>
      <c r="B273" s="95" t="s">
        <v>36</v>
      </c>
      <c r="C273" s="95" t="s">
        <v>37</v>
      </c>
      <c r="D273" s="95" t="s">
        <v>119</v>
      </c>
    </row>
    <row r="274" spans="1:7" x14ac:dyDescent="0.25">
      <c r="A274" s="41">
        <v>0</v>
      </c>
      <c r="B274" s="23">
        <f>B261/2</f>
        <v>2750000</v>
      </c>
      <c r="C274" s="7">
        <f>D261</f>
        <v>0</v>
      </c>
      <c r="D274" s="130">
        <f>C274-B274</f>
        <v>-2750000</v>
      </c>
    </row>
    <row r="275" spans="1:7" x14ac:dyDescent="0.25">
      <c r="A275" s="41">
        <f>A274+1</f>
        <v>1</v>
      </c>
      <c r="B275" s="23">
        <f>B261/2+C262/2</f>
        <v>2900000</v>
      </c>
      <c r="C275" s="32">
        <f>D262/2</f>
        <v>500000</v>
      </c>
      <c r="D275" s="130">
        <f t="shared" ref="D275:D285" si="28">C275-B275</f>
        <v>-2400000</v>
      </c>
    </row>
    <row r="276" spans="1:7" x14ac:dyDescent="0.25">
      <c r="A276" s="41">
        <f t="shared" ref="A276:A285" si="29">A275+1</f>
        <v>2</v>
      </c>
      <c r="B276" s="23">
        <f>C262/2+C263/2+B263/2</f>
        <v>800000</v>
      </c>
      <c r="C276" s="32">
        <f>D262/2+D263/2</f>
        <v>1000000</v>
      </c>
      <c r="D276" s="130">
        <f t="shared" si="28"/>
        <v>200000</v>
      </c>
    </row>
    <row r="277" spans="1:7" x14ac:dyDescent="0.25">
      <c r="A277" s="41">
        <f t="shared" si="29"/>
        <v>3</v>
      </c>
      <c r="B277" s="23">
        <f>C263/2+C264/2+B263/2</f>
        <v>800000</v>
      </c>
      <c r="C277" s="32">
        <f t="shared" ref="C277:C285" si="30">D263/2+D264/2</f>
        <v>1000000</v>
      </c>
      <c r="D277" s="130">
        <f t="shared" si="28"/>
        <v>200000</v>
      </c>
    </row>
    <row r="278" spans="1:7" x14ac:dyDescent="0.25">
      <c r="A278" s="41">
        <f t="shared" si="29"/>
        <v>4</v>
      </c>
      <c r="B278" s="23">
        <f>C264/2+C265/2</f>
        <v>300000</v>
      </c>
      <c r="C278" s="32">
        <f t="shared" si="30"/>
        <v>1000000</v>
      </c>
      <c r="D278" s="130">
        <f t="shared" si="28"/>
        <v>700000</v>
      </c>
    </row>
    <row r="279" spans="1:7" x14ac:dyDescent="0.25">
      <c r="A279" s="41">
        <f t="shared" si="29"/>
        <v>5</v>
      </c>
      <c r="B279" s="23">
        <f>C265/2+C266/2</f>
        <v>300000</v>
      </c>
      <c r="C279" s="32">
        <f t="shared" si="30"/>
        <v>1000000</v>
      </c>
      <c r="D279" s="130">
        <f t="shared" si="28"/>
        <v>700000</v>
      </c>
    </row>
    <row r="280" spans="1:7" x14ac:dyDescent="0.25">
      <c r="A280" s="41">
        <f t="shared" si="29"/>
        <v>6</v>
      </c>
      <c r="B280" s="23">
        <f t="shared" ref="B280:B285" si="31">C266/2+C267/2</f>
        <v>300000</v>
      </c>
      <c r="C280" s="32">
        <f t="shared" si="30"/>
        <v>1000000</v>
      </c>
      <c r="D280" s="130">
        <f t="shared" si="28"/>
        <v>700000</v>
      </c>
    </row>
    <row r="281" spans="1:7" x14ac:dyDescent="0.25">
      <c r="A281" s="41">
        <f t="shared" si="29"/>
        <v>7</v>
      </c>
      <c r="B281" s="23">
        <f t="shared" si="31"/>
        <v>300000</v>
      </c>
      <c r="C281" s="32">
        <f t="shared" si="30"/>
        <v>1000000</v>
      </c>
      <c r="D281" s="130">
        <f t="shared" si="28"/>
        <v>700000</v>
      </c>
    </row>
    <row r="282" spans="1:7" x14ac:dyDescent="0.25">
      <c r="A282" s="41">
        <f t="shared" si="29"/>
        <v>8</v>
      </c>
      <c r="B282" s="23">
        <f t="shared" si="31"/>
        <v>300000</v>
      </c>
      <c r="C282" s="32">
        <f t="shared" si="30"/>
        <v>1000000</v>
      </c>
      <c r="D282" s="130">
        <f t="shared" si="28"/>
        <v>700000</v>
      </c>
    </row>
    <row r="283" spans="1:7" x14ac:dyDescent="0.25">
      <c r="A283" s="41">
        <f t="shared" si="29"/>
        <v>9</v>
      </c>
      <c r="B283" s="23">
        <f t="shared" si="31"/>
        <v>300000</v>
      </c>
      <c r="C283" s="32">
        <f t="shared" si="30"/>
        <v>1000000</v>
      </c>
      <c r="D283" s="130">
        <f t="shared" si="28"/>
        <v>700000</v>
      </c>
    </row>
    <row r="284" spans="1:7" x14ac:dyDescent="0.25">
      <c r="A284" s="41">
        <f t="shared" si="29"/>
        <v>10</v>
      </c>
      <c r="B284" s="23">
        <f t="shared" si="31"/>
        <v>300000</v>
      </c>
      <c r="C284" s="32">
        <f t="shared" si="30"/>
        <v>1000000</v>
      </c>
      <c r="D284" s="130">
        <f t="shared" si="28"/>
        <v>700000</v>
      </c>
      <c r="F284" s="294" t="s">
        <v>137</v>
      </c>
      <c r="G284" s="294"/>
    </row>
    <row r="285" spans="1:7" x14ac:dyDescent="0.25">
      <c r="A285" s="41">
        <f t="shared" si="29"/>
        <v>11</v>
      </c>
      <c r="B285" s="23">
        <f t="shared" si="31"/>
        <v>150000</v>
      </c>
      <c r="C285" s="32">
        <f t="shared" si="30"/>
        <v>500000</v>
      </c>
      <c r="D285" s="130">
        <f t="shared" si="28"/>
        <v>350000</v>
      </c>
      <c r="F285" s="294" t="s">
        <v>138</v>
      </c>
      <c r="G285" s="294"/>
    </row>
    <row r="286" spans="1:7" x14ac:dyDescent="0.25">
      <c r="A286" s="1" t="s">
        <v>136</v>
      </c>
      <c r="B286" s="139">
        <f>SUM(B274:B285)</f>
        <v>9500000</v>
      </c>
      <c r="C286" s="138">
        <f>SUM(C274:C285)</f>
        <v>10000000</v>
      </c>
      <c r="D286" s="137"/>
    </row>
    <row r="287" spans="1:7" x14ac:dyDescent="0.25">
      <c r="C287" s="82" t="s">
        <v>13</v>
      </c>
      <c r="D287" s="115">
        <f>IRR(D274:D285)</f>
        <v>1.4532198334838764E-2</v>
      </c>
    </row>
    <row r="291" spans="1:7" x14ac:dyDescent="0.25">
      <c r="A291" s="117" t="s">
        <v>140</v>
      </c>
    </row>
    <row r="292" spans="1:7" x14ac:dyDescent="0.25">
      <c r="B292" t="s">
        <v>53</v>
      </c>
    </row>
    <row r="293" spans="1:7" x14ac:dyDescent="0.25">
      <c r="A293" s="117" t="s">
        <v>141</v>
      </c>
      <c r="E293" s="72" t="s">
        <v>142</v>
      </c>
      <c r="F293" s="144">
        <v>1.4999999999999999E-2</v>
      </c>
    </row>
    <row r="294" spans="1:7" x14ac:dyDescent="0.25">
      <c r="E294" s="72" t="s">
        <v>89</v>
      </c>
      <c r="F294" s="72">
        <f>935.09</f>
        <v>935.09</v>
      </c>
    </row>
    <row r="295" spans="1:7" x14ac:dyDescent="0.25">
      <c r="E295" s="72" t="s">
        <v>5</v>
      </c>
      <c r="F295" s="72">
        <v>8</v>
      </c>
    </row>
    <row r="296" spans="1:7" x14ac:dyDescent="0.25">
      <c r="E296" s="72" t="s">
        <v>90</v>
      </c>
      <c r="F296" s="72">
        <f>7000</f>
        <v>7000</v>
      </c>
    </row>
    <row r="297" spans="1:7" x14ac:dyDescent="0.25">
      <c r="A297" s="82" t="s">
        <v>69</v>
      </c>
    </row>
    <row r="298" spans="1:7" ht="45" x14ac:dyDescent="0.25">
      <c r="A298" s="70" t="s">
        <v>63</v>
      </c>
      <c r="B298" s="71" t="s">
        <v>76</v>
      </c>
      <c r="C298" s="70" t="s">
        <v>70</v>
      </c>
      <c r="D298" s="71" t="s">
        <v>91</v>
      </c>
      <c r="E298" s="71" t="s">
        <v>92</v>
      </c>
      <c r="F298" s="71" t="s">
        <v>64</v>
      </c>
    </row>
    <row r="299" spans="1:7" x14ac:dyDescent="0.25">
      <c r="A299" s="85">
        <v>1</v>
      </c>
      <c r="B299" s="145">
        <v>7000</v>
      </c>
      <c r="C299" s="86">
        <f t="shared" ref="C299:C306" si="32">$F$294</f>
        <v>935.09</v>
      </c>
      <c r="D299" s="145">
        <f t="shared" ref="D299:D306" si="33">$F$293*B299</f>
        <v>105</v>
      </c>
      <c r="E299" s="86">
        <f t="shared" ref="E299:E306" si="34">C299-D299</f>
        <v>830.09</v>
      </c>
      <c r="F299" s="86">
        <f>E299</f>
        <v>830.09</v>
      </c>
    </row>
    <row r="300" spans="1:7" x14ac:dyDescent="0.25">
      <c r="A300" s="85">
        <v>2</v>
      </c>
      <c r="B300" s="145">
        <f t="shared" ref="B300:B306" si="35">B299-E299</f>
        <v>6169.91</v>
      </c>
      <c r="C300" s="86">
        <f t="shared" si="32"/>
        <v>935.09</v>
      </c>
      <c r="D300" s="145">
        <f t="shared" si="33"/>
        <v>92.548649999999995</v>
      </c>
      <c r="E300" s="86">
        <f t="shared" si="34"/>
        <v>842.54135000000008</v>
      </c>
      <c r="F300" s="86">
        <f t="shared" ref="F300:F306" si="36">F299+E300</f>
        <v>1672.6313500000001</v>
      </c>
    </row>
    <row r="301" spans="1:7" x14ac:dyDescent="0.25">
      <c r="A301" s="85">
        <v>3</v>
      </c>
      <c r="B301" s="145">
        <f t="shared" si="35"/>
        <v>5327.3686499999994</v>
      </c>
      <c r="C301" s="86">
        <f t="shared" si="32"/>
        <v>935.09</v>
      </c>
      <c r="D301" s="145">
        <f t="shared" si="33"/>
        <v>79.910529749999995</v>
      </c>
      <c r="E301" s="86">
        <f t="shared" si="34"/>
        <v>855.17947025000001</v>
      </c>
      <c r="F301" s="86">
        <f t="shared" si="36"/>
        <v>2527.8108202500002</v>
      </c>
    </row>
    <row r="302" spans="1:7" x14ac:dyDescent="0.25">
      <c r="A302" s="85">
        <v>4</v>
      </c>
      <c r="B302" s="145">
        <f t="shared" si="35"/>
        <v>4472.1891797499993</v>
      </c>
      <c r="C302" s="86">
        <f t="shared" si="32"/>
        <v>935.09</v>
      </c>
      <c r="D302" s="145">
        <f t="shared" si="33"/>
        <v>67.082837696249982</v>
      </c>
      <c r="E302" s="86">
        <f t="shared" si="34"/>
        <v>868.00716230375008</v>
      </c>
      <c r="F302" s="86">
        <f t="shared" si="36"/>
        <v>3395.8179825537504</v>
      </c>
    </row>
    <row r="303" spans="1:7" x14ac:dyDescent="0.25">
      <c r="A303" s="85">
        <v>5</v>
      </c>
      <c r="B303" s="145">
        <f t="shared" si="35"/>
        <v>3604.1820174462491</v>
      </c>
      <c r="C303" s="86">
        <f t="shared" si="32"/>
        <v>935.09</v>
      </c>
      <c r="D303" s="145">
        <f t="shared" si="33"/>
        <v>54.062730261693737</v>
      </c>
      <c r="E303" s="86">
        <f t="shared" si="34"/>
        <v>881.02726973830625</v>
      </c>
      <c r="F303" s="86">
        <f t="shared" si="36"/>
        <v>4276.845252292057</v>
      </c>
    </row>
    <row r="304" spans="1:7" x14ac:dyDescent="0.25">
      <c r="A304" s="85">
        <v>6</v>
      </c>
      <c r="B304" s="145">
        <f t="shared" si="35"/>
        <v>2723.154747707943</v>
      </c>
      <c r="C304" s="86">
        <f t="shared" si="32"/>
        <v>935.09</v>
      </c>
      <c r="D304" s="145">
        <f t="shared" si="33"/>
        <v>40.847321215619147</v>
      </c>
      <c r="E304" s="86">
        <f t="shared" si="34"/>
        <v>894.24267878438093</v>
      </c>
      <c r="F304" s="86">
        <f t="shared" si="36"/>
        <v>5171.0879310764376</v>
      </c>
      <c r="G304" s="76" t="s">
        <v>75</v>
      </c>
    </row>
    <row r="305" spans="1:7" x14ac:dyDescent="0.25">
      <c r="A305" s="85">
        <v>7</v>
      </c>
      <c r="B305" s="145">
        <f t="shared" si="35"/>
        <v>1828.9120689235619</v>
      </c>
      <c r="C305" s="86">
        <f t="shared" si="32"/>
        <v>935.09</v>
      </c>
      <c r="D305" s="145">
        <f t="shared" si="33"/>
        <v>27.433681033853428</v>
      </c>
      <c r="E305" s="86">
        <f t="shared" si="34"/>
        <v>907.65631896614661</v>
      </c>
      <c r="F305" s="86">
        <f t="shared" si="36"/>
        <v>6078.7442500425841</v>
      </c>
      <c r="G305" s="76" t="s">
        <v>73</v>
      </c>
    </row>
    <row r="306" spans="1:7" x14ac:dyDescent="0.25">
      <c r="A306" s="85">
        <v>8</v>
      </c>
      <c r="B306" s="86">
        <f t="shared" si="35"/>
        <v>921.25574995741533</v>
      </c>
      <c r="C306" s="86">
        <f t="shared" si="32"/>
        <v>935.09</v>
      </c>
      <c r="D306" s="145">
        <f t="shared" si="33"/>
        <v>13.81883624936123</v>
      </c>
      <c r="E306" s="86">
        <f t="shared" si="34"/>
        <v>921.27116375063883</v>
      </c>
      <c r="F306" s="146">
        <f t="shared" si="36"/>
        <v>7000.0154137932232</v>
      </c>
      <c r="G306" s="76" t="s">
        <v>74</v>
      </c>
    </row>
    <row r="307" spans="1:7" x14ac:dyDescent="0.25">
      <c r="A307" s="85"/>
      <c r="B307" s="85"/>
      <c r="C307" s="85"/>
      <c r="D307" s="85"/>
      <c r="E307" s="147">
        <f>SUM(E299:E306)</f>
        <v>7000.0154137932232</v>
      </c>
      <c r="F307" s="85"/>
    </row>
    <row r="320" spans="1:7" x14ac:dyDescent="0.25">
      <c r="A320" s="82" t="s">
        <v>79</v>
      </c>
    </row>
    <row r="321" spans="1:7" ht="45" x14ac:dyDescent="0.25">
      <c r="A321" s="70" t="s">
        <v>63</v>
      </c>
      <c r="B321" s="71" t="s">
        <v>76</v>
      </c>
      <c r="C321" s="71" t="s">
        <v>113</v>
      </c>
      <c r="D321" s="71" t="s">
        <v>71</v>
      </c>
      <c r="E321" s="71" t="s">
        <v>72</v>
      </c>
      <c r="F321" s="71" t="s">
        <v>64</v>
      </c>
    </row>
    <row r="322" spans="1:7" x14ac:dyDescent="0.25">
      <c r="A322" s="2">
        <v>1</v>
      </c>
      <c r="B322" s="7">
        <f>D332</f>
        <v>7000</v>
      </c>
      <c r="C322" s="7">
        <f t="shared" ref="C322:C329" si="37">E322+D322</f>
        <v>980</v>
      </c>
      <c r="D322" s="7">
        <f t="shared" ref="D322:D329" si="38">B322*$D$334</f>
        <v>105</v>
      </c>
      <c r="E322" s="7">
        <f t="shared" ref="E322:E329" si="39">$B$333</f>
        <v>875</v>
      </c>
      <c r="F322" s="7">
        <f>E322</f>
        <v>875</v>
      </c>
    </row>
    <row r="323" spans="1:7" x14ac:dyDescent="0.25">
      <c r="A323" s="2">
        <v>2</v>
      </c>
      <c r="B323" s="7">
        <f t="shared" ref="B323:B329" si="40">B322-E322</f>
        <v>6125</v>
      </c>
      <c r="C323" s="7">
        <f t="shared" si="37"/>
        <v>966.875</v>
      </c>
      <c r="D323" s="7">
        <f t="shared" si="38"/>
        <v>91.875</v>
      </c>
      <c r="E323" s="7">
        <f t="shared" si="39"/>
        <v>875</v>
      </c>
      <c r="F323" s="7">
        <f t="shared" ref="F323:F329" si="41">F322+E323</f>
        <v>1750</v>
      </c>
    </row>
    <row r="324" spans="1:7" x14ac:dyDescent="0.25">
      <c r="A324" s="85">
        <v>3</v>
      </c>
      <c r="B324" s="7">
        <f t="shared" si="40"/>
        <v>5250</v>
      </c>
      <c r="C324" s="7">
        <f t="shared" si="37"/>
        <v>953.75</v>
      </c>
      <c r="D324" s="7">
        <f t="shared" si="38"/>
        <v>78.75</v>
      </c>
      <c r="E324" s="7">
        <f t="shared" si="39"/>
        <v>875</v>
      </c>
      <c r="F324" s="7">
        <f t="shared" si="41"/>
        <v>2625</v>
      </c>
    </row>
    <row r="325" spans="1:7" x14ac:dyDescent="0.25">
      <c r="A325" s="91">
        <v>4</v>
      </c>
      <c r="B325" s="92">
        <f t="shared" si="40"/>
        <v>4375</v>
      </c>
      <c r="C325" s="92">
        <f t="shared" si="37"/>
        <v>940.625</v>
      </c>
      <c r="D325" s="92">
        <f t="shared" si="38"/>
        <v>65.625</v>
      </c>
      <c r="E325" s="92">
        <f t="shared" si="39"/>
        <v>875</v>
      </c>
      <c r="F325" s="92">
        <f t="shared" si="41"/>
        <v>3500</v>
      </c>
    </row>
    <row r="326" spans="1:7" x14ac:dyDescent="0.25">
      <c r="A326" s="85">
        <v>5</v>
      </c>
      <c r="B326" s="92">
        <f t="shared" si="40"/>
        <v>3500</v>
      </c>
      <c r="C326" s="7">
        <f t="shared" si="37"/>
        <v>927.5</v>
      </c>
      <c r="D326" s="7">
        <f t="shared" si="38"/>
        <v>52.5</v>
      </c>
      <c r="E326" s="7">
        <f t="shared" si="39"/>
        <v>875</v>
      </c>
      <c r="F326" s="7">
        <f t="shared" si="41"/>
        <v>4375</v>
      </c>
      <c r="G326" s="60" t="s">
        <v>84</v>
      </c>
    </row>
    <row r="327" spans="1:7" x14ac:dyDescent="0.25">
      <c r="A327" s="85">
        <v>6</v>
      </c>
      <c r="B327" s="7">
        <f t="shared" si="40"/>
        <v>2625</v>
      </c>
      <c r="C327" s="7">
        <f t="shared" si="37"/>
        <v>914.375</v>
      </c>
      <c r="D327" s="7">
        <f t="shared" si="38"/>
        <v>39.375</v>
      </c>
      <c r="E327" s="7">
        <f t="shared" si="39"/>
        <v>875</v>
      </c>
      <c r="F327" s="7">
        <f t="shared" si="41"/>
        <v>5250</v>
      </c>
      <c r="G327" s="60" t="s">
        <v>73</v>
      </c>
    </row>
    <row r="328" spans="1:7" x14ac:dyDescent="0.25">
      <c r="A328" s="85">
        <v>7</v>
      </c>
      <c r="B328" s="7">
        <f t="shared" si="40"/>
        <v>1750</v>
      </c>
      <c r="C328" s="7">
        <f t="shared" si="37"/>
        <v>901.25</v>
      </c>
      <c r="D328" s="7">
        <f t="shared" si="38"/>
        <v>26.25</v>
      </c>
      <c r="E328" s="7">
        <f t="shared" si="39"/>
        <v>875</v>
      </c>
      <c r="F328" s="7">
        <f t="shared" si="41"/>
        <v>6125</v>
      </c>
      <c r="G328" s="60" t="s">
        <v>85</v>
      </c>
    </row>
    <row r="329" spans="1:7" x14ac:dyDescent="0.25">
      <c r="A329" s="85">
        <v>8</v>
      </c>
      <c r="B329" s="7">
        <f t="shared" si="40"/>
        <v>875</v>
      </c>
      <c r="C329" s="7">
        <f t="shared" si="37"/>
        <v>888.125</v>
      </c>
      <c r="D329" s="7">
        <f t="shared" si="38"/>
        <v>13.125</v>
      </c>
      <c r="E329" s="7">
        <f t="shared" si="39"/>
        <v>875</v>
      </c>
      <c r="F329" s="9">
        <f t="shared" si="41"/>
        <v>7000</v>
      </c>
    </row>
    <row r="330" spans="1:7" x14ac:dyDescent="0.25">
      <c r="A330" s="2"/>
      <c r="B330" s="2"/>
      <c r="C330" s="2"/>
      <c r="D330" s="2"/>
      <c r="E330" s="150">
        <f>SUM(E322:E329)</f>
        <v>7000</v>
      </c>
      <c r="F330" s="2"/>
    </row>
    <row r="332" spans="1:7" x14ac:dyDescent="0.25">
      <c r="A332" s="126" t="s">
        <v>80</v>
      </c>
      <c r="B332" s="126" t="s">
        <v>81</v>
      </c>
      <c r="C332" s="83" t="s">
        <v>82</v>
      </c>
      <c r="D332" s="84">
        <v>7000</v>
      </c>
    </row>
    <row r="333" spans="1:7" x14ac:dyDescent="0.25">
      <c r="A333" s="126" t="s">
        <v>80</v>
      </c>
      <c r="B333" s="151">
        <f>D332/D333</f>
        <v>875</v>
      </c>
      <c r="C333" s="83" t="s">
        <v>83</v>
      </c>
      <c r="D333" s="84">
        <v>8</v>
      </c>
    </row>
    <row r="334" spans="1:7" x14ac:dyDescent="0.25">
      <c r="A334" s="1"/>
      <c r="B334" s="1"/>
      <c r="C334" s="148" t="s">
        <v>86</v>
      </c>
      <c r="D334" s="149">
        <v>1.4999999999999999E-2</v>
      </c>
    </row>
    <row r="341" spans="8:8" x14ac:dyDescent="0.25">
      <c r="H341" s="60"/>
    </row>
    <row r="342" spans="8:8" x14ac:dyDescent="0.25">
      <c r="H342" s="60"/>
    </row>
    <row r="343" spans="8:8" x14ac:dyDescent="0.25">
      <c r="H343" s="60"/>
    </row>
    <row r="371" spans="2:5" x14ac:dyDescent="0.25">
      <c r="B371" s="122"/>
      <c r="D371" s="122"/>
    </row>
    <row r="372" spans="2:5" x14ac:dyDescent="0.25">
      <c r="B372" s="122"/>
      <c r="D372" s="122"/>
    </row>
    <row r="373" spans="2:5" x14ac:dyDescent="0.25">
      <c r="B373" s="122"/>
      <c r="D373" s="122"/>
      <c r="E373" s="114"/>
    </row>
    <row r="374" spans="2:5" x14ac:dyDescent="0.25">
      <c r="B374" s="122"/>
      <c r="D374" s="122"/>
    </row>
    <row r="375" spans="2:5" x14ac:dyDescent="0.25">
      <c r="B375" s="122"/>
      <c r="D375" s="122"/>
    </row>
    <row r="376" spans="2:5" x14ac:dyDescent="0.25">
      <c r="B376" s="122"/>
      <c r="D376" s="122"/>
    </row>
    <row r="377" spans="2:5" x14ac:dyDescent="0.25">
      <c r="B377" s="122"/>
      <c r="D377" s="122"/>
    </row>
  </sheetData>
  <mergeCells count="1">
    <mergeCell ref="D25:E2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31" workbookViewId="0">
      <selection activeCell="E45" sqref="E45:M45"/>
    </sheetView>
  </sheetViews>
  <sheetFormatPr baseColWidth="10" defaultRowHeight="15" x14ac:dyDescent="0.25"/>
  <cols>
    <col min="2" max="3" width="15" customWidth="1"/>
    <col min="4" max="4" width="16.140625" customWidth="1"/>
    <col min="5" max="5" width="17.5703125" customWidth="1"/>
    <col min="6" max="6" width="17.28515625" customWidth="1"/>
    <col min="7" max="7" width="12.7109375" customWidth="1"/>
    <col min="8" max="8" width="15" customWidth="1"/>
    <col min="10" max="10" width="16" customWidth="1"/>
    <col min="11" max="11" width="15.5703125" customWidth="1"/>
    <col min="12" max="12" width="16" customWidth="1"/>
  </cols>
  <sheetData>
    <row r="1" spans="1:12" ht="15.75" x14ac:dyDescent="0.25">
      <c r="A1" s="159" t="s">
        <v>145</v>
      </c>
    </row>
    <row r="2" spans="1:12" ht="15.75" x14ac:dyDescent="0.25">
      <c r="A2" s="159" t="s">
        <v>146</v>
      </c>
    </row>
    <row r="4" spans="1:12" x14ac:dyDescent="0.25">
      <c r="B4" s="128" t="s">
        <v>147</v>
      </c>
    </row>
    <row r="5" spans="1:12" x14ac:dyDescent="0.25">
      <c r="B5" s="22" t="s">
        <v>83</v>
      </c>
      <c r="C5" s="22">
        <v>8</v>
      </c>
    </row>
    <row r="6" spans="1:12" x14ac:dyDescent="0.25">
      <c r="B6" s="22" t="s">
        <v>86</v>
      </c>
      <c r="C6" s="160">
        <v>0.12</v>
      </c>
    </row>
    <row r="7" spans="1:12" x14ac:dyDescent="0.25">
      <c r="B7" s="22" t="s">
        <v>115</v>
      </c>
      <c r="C7" s="22">
        <v>85000</v>
      </c>
      <c r="D7" s="161" t="s">
        <v>149</v>
      </c>
      <c r="E7" s="161">
        <f>C7*((C6+1)^C5)*C6</f>
        <v>25254.824398207071</v>
      </c>
    </row>
    <row r="8" spans="1:12" x14ac:dyDescent="0.25">
      <c r="B8" s="22" t="s">
        <v>148</v>
      </c>
      <c r="C8" s="22">
        <f>E7/E8</f>
        <v>17110.741517011018</v>
      </c>
      <c r="D8" s="161" t="s">
        <v>150</v>
      </c>
      <c r="E8" s="161">
        <f>(C6+1)^C5-1</f>
        <v>1.4759631762948109</v>
      </c>
    </row>
    <row r="12" spans="1:12" ht="45" x14ac:dyDescent="0.25">
      <c r="A12" s="70" t="s">
        <v>63</v>
      </c>
      <c r="B12" s="71" t="s">
        <v>76</v>
      </c>
      <c r="C12" s="70" t="s">
        <v>70</v>
      </c>
      <c r="D12" s="71" t="s">
        <v>91</v>
      </c>
      <c r="E12" s="71" t="s">
        <v>92</v>
      </c>
      <c r="F12" s="71" t="s">
        <v>64</v>
      </c>
      <c r="H12" s="162" t="s">
        <v>10</v>
      </c>
      <c r="I12" s="162" t="s">
        <v>1</v>
      </c>
      <c r="J12" s="162" t="s">
        <v>2</v>
      </c>
      <c r="K12" s="163" t="s">
        <v>9</v>
      </c>
      <c r="L12" s="162" t="s">
        <v>151</v>
      </c>
    </row>
    <row r="13" spans="1:12" x14ac:dyDescent="0.25">
      <c r="A13" s="85">
        <v>1</v>
      </c>
      <c r="B13" s="86">
        <f>C7</f>
        <v>85000</v>
      </c>
      <c r="C13" s="86">
        <f>$C$8</f>
        <v>17110.741517011018</v>
      </c>
      <c r="D13" s="86">
        <f>B13*$C$6</f>
        <v>10200</v>
      </c>
      <c r="E13" s="86">
        <f t="shared" ref="E13:E20" si="0">C13-D13</f>
        <v>6910.741517011018</v>
      </c>
      <c r="F13" s="86">
        <f>E13</f>
        <v>6910.741517011018</v>
      </c>
      <c r="H13" s="3">
        <v>0</v>
      </c>
      <c r="I13" s="11">
        <f>B13</f>
        <v>85000</v>
      </c>
      <c r="J13" s="11"/>
      <c r="K13" s="12">
        <f>I13-J13</f>
        <v>85000</v>
      </c>
      <c r="L13" s="13">
        <f>(K13/(1+$C$6)^H13)</f>
        <v>85000</v>
      </c>
    </row>
    <row r="14" spans="1:12" x14ac:dyDescent="0.25">
      <c r="A14" s="85">
        <v>2</v>
      </c>
      <c r="B14" s="86">
        <f t="shared" ref="B14:B20" si="1">B13-E13</f>
        <v>78089.258482988982</v>
      </c>
      <c r="C14" s="86">
        <f t="shared" ref="C14:C20" si="2">$C$8</f>
        <v>17110.741517011018</v>
      </c>
      <c r="D14" s="86">
        <f>B14*$C$6</f>
        <v>9370.711017958678</v>
      </c>
      <c r="E14" s="86">
        <f t="shared" si="0"/>
        <v>7740.03049905234</v>
      </c>
      <c r="F14" s="86">
        <f>F13+E14</f>
        <v>14650.772016063358</v>
      </c>
      <c r="H14" s="3">
        <f>H13+1</f>
        <v>1</v>
      </c>
      <c r="I14" s="11"/>
      <c r="J14" s="11">
        <f>C13</f>
        <v>17110.741517011018</v>
      </c>
      <c r="K14" s="12">
        <f t="shared" ref="K14:K21" si="3">I14-J14</f>
        <v>-17110.741517011018</v>
      </c>
      <c r="L14" s="13">
        <f t="shared" ref="L14:L21" si="4">(K14/(1+$C$6)^H14)</f>
        <v>-15277.447783045551</v>
      </c>
    </row>
    <row r="15" spans="1:12" x14ac:dyDescent="0.25">
      <c r="A15" s="85">
        <v>3</v>
      </c>
      <c r="B15" s="86">
        <f t="shared" si="1"/>
        <v>70349.227983936638</v>
      </c>
      <c r="C15" s="86">
        <f t="shared" si="2"/>
        <v>17110.741517011018</v>
      </c>
      <c r="D15" s="86">
        <f>B15*$C$6</f>
        <v>8441.9073580723962</v>
      </c>
      <c r="E15" s="86">
        <f t="shared" si="0"/>
        <v>8668.8341589386218</v>
      </c>
      <c r="F15" s="86">
        <f>F14+E15</f>
        <v>23319.60617500198</v>
      </c>
      <c r="H15" s="3">
        <f t="shared" ref="H15:H21" si="5">H14+1</f>
        <v>2</v>
      </c>
      <c r="I15" s="11"/>
      <c r="J15" s="11">
        <f t="shared" ref="J15:J21" si="6">C14</f>
        <v>17110.741517011018</v>
      </c>
      <c r="K15" s="12">
        <f t="shared" si="3"/>
        <v>-17110.741517011018</v>
      </c>
      <c r="L15" s="13">
        <f t="shared" si="4"/>
        <v>-13640.578377719241</v>
      </c>
    </row>
    <row r="16" spans="1:12" x14ac:dyDescent="0.25">
      <c r="A16" s="85">
        <v>4</v>
      </c>
      <c r="B16" s="86">
        <f t="shared" si="1"/>
        <v>61680.393824998013</v>
      </c>
      <c r="C16" s="86">
        <f t="shared" si="2"/>
        <v>17110.741517011018</v>
      </c>
      <c r="D16" s="86">
        <f t="shared" ref="D16:D20" si="7">B16*$C$6</f>
        <v>7401.6472589997611</v>
      </c>
      <c r="E16" s="86">
        <f t="shared" si="0"/>
        <v>9709.0942580112569</v>
      </c>
      <c r="F16" s="86">
        <f>F15+E16</f>
        <v>33028.700433013233</v>
      </c>
      <c r="H16" s="3">
        <f t="shared" si="5"/>
        <v>3</v>
      </c>
      <c r="I16" s="11"/>
      <c r="J16" s="11">
        <f t="shared" si="6"/>
        <v>17110.741517011018</v>
      </c>
      <c r="K16" s="12">
        <f t="shared" si="3"/>
        <v>-17110.741517011018</v>
      </c>
      <c r="L16" s="13">
        <f t="shared" si="4"/>
        <v>-12179.087837249321</v>
      </c>
    </row>
    <row r="17" spans="1:12" x14ac:dyDescent="0.25">
      <c r="A17" s="85">
        <v>5</v>
      </c>
      <c r="B17" s="86">
        <f t="shared" si="1"/>
        <v>51971.299566986752</v>
      </c>
      <c r="C17" s="86">
        <f t="shared" si="2"/>
        <v>17110.741517011018</v>
      </c>
      <c r="D17" s="86">
        <f t="shared" si="7"/>
        <v>6236.55594803841</v>
      </c>
      <c r="E17" s="86">
        <f t="shared" si="0"/>
        <v>10874.185568972607</v>
      </c>
      <c r="F17" s="86">
        <f t="shared" ref="F17:F20" si="8">F16+E17</f>
        <v>43902.88600198584</v>
      </c>
      <c r="H17" s="3">
        <f t="shared" si="5"/>
        <v>4</v>
      </c>
      <c r="I17" s="11"/>
      <c r="J17" s="11">
        <f t="shared" si="6"/>
        <v>17110.741517011018</v>
      </c>
      <c r="K17" s="12">
        <f t="shared" si="3"/>
        <v>-17110.741517011018</v>
      </c>
      <c r="L17" s="13">
        <f t="shared" si="4"/>
        <v>-10874.185568972607</v>
      </c>
    </row>
    <row r="18" spans="1:12" x14ac:dyDescent="0.25">
      <c r="A18" s="85">
        <v>6</v>
      </c>
      <c r="B18" s="86">
        <f t="shared" si="1"/>
        <v>41097.113998014145</v>
      </c>
      <c r="C18" s="86">
        <f t="shared" si="2"/>
        <v>17110.741517011018</v>
      </c>
      <c r="D18" s="86">
        <f t="shared" si="7"/>
        <v>4931.6536797616973</v>
      </c>
      <c r="E18" s="86">
        <f t="shared" si="0"/>
        <v>12179.087837249321</v>
      </c>
      <c r="F18" s="86">
        <f t="shared" si="8"/>
        <v>56081.973839235157</v>
      </c>
      <c r="H18" s="3">
        <f t="shared" si="5"/>
        <v>5</v>
      </c>
      <c r="I18" s="11"/>
      <c r="J18" s="11">
        <f t="shared" si="6"/>
        <v>17110.741517011018</v>
      </c>
      <c r="K18" s="12">
        <f t="shared" si="3"/>
        <v>-17110.741517011018</v>
      </c>
      <c r="L18" s="13">
        <f t="shared" si="4"/>
        <v>-9709.0942580112569</v>
      </c>
    </row>
    <row r="19" spans="1:12" x14ac:dyDescent="0.25">
      <c r="A19" s="85">
        <v>7</v>
      </c>
      <c r="B19" s="86">
        <f t="shared" si="1"/>
        <v>28918.026160764824</v>
      </c>
      <c r="C19" s="86">
        <f t="shared" si="2"/>
        <v>17110.741517011018</v>
      </c>
      <c r="D19" s="86">
        <f t="shared" si="7"/>
        <v>3470.1631392917789</v>
      </c>
      <c r="E19" s="86">
        <f t="shared" si="0"/>
        <v>13640.578377719239</v>
      </c>
      <c r="F19" s="86">
        <f t="shared" si="8"/>
        <v>69722.552216954398</v>
      </c>
      <c r="H19" s="3">
        <f t="shared" si="5"/>
        <v>6</v>
      </c>
      <c r="I19" s="11"/>
      <c r="J19" s="11">
        <f t="shared" si="6"/>
        <v>17110.741517011018</v>
      </c>
      <c r="K19" s="12">
        <f t="shared" si="3"/>
        <v>-17110.741517011018</v>
      </c>
      <c r="L19" s="13">
        <f t="shared" si="4"/>
        <v>-8668.83415893862</v>
      </c>
    </row>
    <row r="20" spans="1:12" x14ac:dyDescent="0.25">
      <c r="A20" s="85">
        <v>8</v>
      </c>
      <c r="B20" s="86">
        <f t="shared" si="1"/>
        <v>15277.447783045585</v>
      </c>
      <c r="C20" s="86">
        <f t="shared" si="2"/>
        <v>17110.741517011018</v>
      </c>
      <c r="D20" s="86">
        <f t="shared" si="7"/>
        <v>1833.2937339654702</v>
      </c>
      <c r="E20" s="86">
        <f t="shared" si="0"/>
        <v>15277.447783045547</v>
      </c>
      <c r="F20" s="9">
        <f t="shared" si="8"/>
        <v>84999.999999999942</v>
      </c>
      <c r="H20" s="3">
        <f t="shared" si="5"/>
        <v>7</v>
      </c>
      <c r="I20" s="11"/>
      <c r="J20" s="11">
        <f t="shared" si="6"/>
        <v>17110.741517011018</v>
      </c>
      <c r="K20" s="12">
        <f t="shared" si="3"/>
        <v>-17110.741517011018</v>
      </c>
      <c r="L20" s="13">
        <f t="shared" si="4"/>
        <v>-7740.03049905234</v>
      </c>
    </row>
    <row r="21" spans="1:12" x14ac:dyDescent="0.25">
      <c r="A21" s="85"/>
      <c r="B21" s="85"/>
      <c r="C21" s="85"/>
      <c r="D21" s="85"/>
      <c r="E21" s="150">
        <f>SUM(E13:E20)</f>
        <v>84999.999999999942</v>
      </c>
      <c r="F21" s="85"/>
      <c r="H21" s="3">
        <f t="shared" si="5"/>
        <v>8</v>
      </c>
      <c r="I21" s="11"/>
      <c r="J21" s="11">
        <f t="shared" si="6"/>
        <v>17110.741517011018</v>
      </c>
      <c r="K21" s="12">
        <f t="shared" si="3"/>
        <v>-17110.741517011018</v>
      </c>
      <c r="L21" s="13">
        <f t="shared" si="4"/>
        <v>-6910.7415170110171</v>
      </c>
    </row>
    <row r="23" spans="1:12" x14ac:dyDescent="0.25">
      <c r="E23" s="82" t="s">
        <v>152</v>
      </c>
      <c r="F23" s="101">
        <v>0.12</v>
      </c>
      <c r="J23" s="121" t="s">
        <v>13</v>
      </c>
      <c r="K23" s="164">
        <f>IRR(K13:K21)</f>
        <v>0.11999999999999988</v>
      </c>
    </row>
    <row r="24" spans="1:12" x14ac:dyDescent="0.25">
      <c r="G24" s="165"/>
      <c r="H24" s="165"/>
      <c r="I24" s="80"/>
    </row>
    <row r="25" spans="1:12" x14ac:dyDescent="0.25">
      <c r="G25" s="166" t="s">
        <v>153</v>
      </c>
      <c r="H25" s="166"/>
      <c r="I25" s="80"/>
    </row>
    <row r="26" spans="1:12" ht="15.75" thickBot="1" x14ac:dyDescent="0.3"/>
    <row r="27" spans="1:12" ht="16.5" x14ac:dyDescent="0.25">
      <c r="A27" s="172" t="s">
        <v>154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4"/>
      <c r="L27" s="167"/>
    </row>
    <row r="28" spans="1:12" ht="18" thickBot="1" x14ac:dyDescent="0.35">
      <c r="A28" s="168" t="s">
        <v>155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70"/>
      <c r="L28" s="171"/>
    </row>
    <row r="31" spans="1:12" x14ac:dyDescent="0.25">
      <c r="A31" s="22" t="s">
        <v>42</v>
      </c>
      <c r="B31" s="176" t="s">
        <v>156</v>
      </c>
      <c r="C31" s="176" t="s">
        <v>157</v>
      </c>
      <c r="D31" s="176" t="s">
        <v>158</v>
      </c>
      <c r="E31" s="176" t="s">
        <v>89</v>
      </c>
      <c r="G31" s="162" t="s">
        <v>10</v>
      </c>
      <c r="H31" s="162" t="s">
        <v>1</v>
      </c>
      <c r="I31" s="162" t="s">
        <v>2</v>
      </c>
      <c r="J31" s="163" t="s">
        <v>9</v>
      </c>
      <c r="K31" s="162" t="s">
        <v>151</v>
      </c>
    </row>
    <row r="32" spans="1:12" x14ac:dyDescent="0.25">
      <c r="A32" s="22"/>
      <c r="B32" s="176" t="s">
        <v>159</v>
      </c>
      <c r="C32" s="176" t="s">
        <v>160</v>
      </c>
      <c r="D32" s="176" t="s">
        <v>161</v>
      </c>
      <c r="E32" s="176" t="s">
        <v>162</v>
      </c>
      <c r="G32" s="3">
        <v>0</v>
      </c>
      <c r="H32" s="11">
        <f>B13</f>
        <v>85000</v>
      </c>
      <c r="I32" s="11"/>
      <c r="J32" s="12">
        <f>H32-I32</f>
        <v>85000</v>
      </c>
      <c r="K32" s="13">
        <f>(J32/(1+$C$6)^G32)</f>
        <v>85000</v>
      </c>
    </row>
    <row r="33" spans="1:13" x14ac:dyDescent="0.25">
      <c r="A33" s="2">
        <v>1</v>
      </c>
      <c r="B33" s="178">
        <f>D13*21%</f>
        <v>2142</v>
      </c>
      <c r="C33" s="177">
        <f>B13*2%</f>
        <v>1700</v>
      </c>
      <c r="D33" s="175">
        <v>117</v>
      </c>
      <c r="E33" s="177">
        <f>C13+D33+C33+B33</f>
        <v>21069.741517011018</v>
      </c>
      <c r="G33" s="3">
        <f>G32+1</f>
        <v>1</v>
      </c>
      <c r="H33" s="11"/>
      <c r="I33" s="11">
        <f>E33</f>
        <v>21069.741517011018</v>
      </c>
      <c r="J33" s="12">
        <f t="shared" ref="J33:J40" si="9">H33-I33</f>
        <v>-21069.741517011018</v>
      </c>
      <c r="K33" s="13">
        <f t="shared" ref="K33:K40" si="10">(J33/(1+$C$6)^G33)</f>
        <v>-18812.269211616978</v>
      </c>
    </row>
    <row r="34" spans="1:13" x14ac:dyDescent="0.25">
      <c r="A34" s="2">
        <f>A33+1</f>
        <v>2</v>
      </c>
      <c r="B34" s="178">
        <f t="shared" ref="B34:B40" si="11">D14*21%</f>
        <v>1967.8493137713224</v>
      </c>
      <c r="C34" s="2">
        <v>0</v>
      </c>
      <c r="D34" s="2">
        <v>117</v>
      </c>
      <c r="E34" s="177">
        <f t="shared" ref="E34:E41" si="12">C14+D34+C34+B34</f>
        <v>19195.590830782341</v>
      </c>
      <c r="G34" s="3">
        <f t="shared" ref="G34:G40" si="13">G33+1</f>
        <v>2</v>
      </c>
      <c r="H34" s="11"/>
      <c r="I34" s="11">
        <f t="shared" ref="I34:I40" si="14">E34</f>
        <v>19195.590830782341</v>
      </c>
      <c r="J34" s="12">
        <f t="shared" si="9"/>
        <v>-19195.590830782341</v>
      </c>
      <c r="K34" s="13">
        <f t="shared" si="10"/>
        <v>-15302.607486274186</v>
      </c>
    </row>
    <row r="35" spans="1:13" x14ac:dyDescent="0.25">
      <c r="A35" s="2">
        <f t="shared" ref="A35:A40" si="15">A34+1</f>
        <v>3</v>
      </c>
      <c r="B35" s="178">
        <f t="shared" si="11"/>
        <v>1772.8005451952031</v>
      </c>
      <c r="C35" s="2">
        <v>0</v>
      </c>
      <c r="D35" s="2">
        <v>117</v>
      </c>
      <c r="E35" s="177">
        <f t="shared" si="12"/>
        <v>19000.542062206223</v>
      </c>
      <c r="G35" s="3">
        <f t="shared" si="13"/>
        <v>3</v>
      </c>
      <c r="H35" s="11"/>
      <c r="I35" s="11">
        <f t="shared" si="14"/>
        <v>19000.542062206223</v>
      </c>
      <c r="J35" s="12">
        <f t="shared" si="9"/>
        <v>-19000.542062206223</v>
      </c>
      <c r="K35" s="13">
        <f t="shared" si="10"/>
        <v>-13524.210537626283</v>
      </c>
    </row>
    <row r="36" spans="1:13" x14ac:dyDescent="0.25">
      <c r="A36" s="2">
        <f t="shared" si="15"/>
        <v>4</v>
      </c>
      <c r="B36" s="178">
        <f t="shared" si="11"/>
        <v>1554.3459243899497</v>
      </c>
      <c r="C36" s="2">
        <v>0</v>
      </c>
      <c r="D36" s="2">
        <v>117</v>
      </c>
      <c r="E36" s="177">
        <f t="shared" si="12"/>
        <v>18782.087441400967</v>
      </c>
      <c r="G36" s="3">
        <f t="shared" si="13"/>
        <v>4</v>
      </c>
      <c r="H36" s="11"/>
      <c r="I36" s="11">
        <f t="shared" si="14"/>
        <v>18782.087441400967</v>
      </c>
      <c r="J36" s="12">
        <f t="shared" si="9"/>
        <v>-18782.087441400967</v>
      </c>
      <c r="K36" s="13">
        <f t="shared" si="10"/>
        <v>-11936.356119190654</v>
      </c>
    </row>
    <row r="37" spans="1:13" x14ac:dyDescent="0.25">
      <c r="A37" s="2">
        <f t="shared" si="15"/>
        <v>5</v>
      </c>
      <c r="B37" s="178">
        <f t="shared" si="11"/>
        <v>1309.6767490880661</v>
      </c>
      <c r="C37" s="2">
        <v>0</v>
      </c>
      <c r="D37" s="2">
        <v>117</v>
      </c>
      <c r="E37" s="177">
        <f t="shared" si="12"/>
        <v>18537.418266099085</v>
      </c>
      <c r="G37" s="3">
        <f t="shared" si="13"/>
        <v>5</v>
      </c>
      <c r="H37" s="11"/>
      <c r="I37" s="11">
        <f t="shared" si="14"/>
        <v>18537.418266099085</v>
      </c>
      <c r="J37" s="12">
        <f t="shared" si="9"/>
        <v>-18537.418266099085</v>
      </c>
      <c r="K37" s="13">
        <f t="shared" si="10"/>
        <v>-10518.628959873131</v>
      </c>
    </row>
    <row r="38" spans="1:13" x14ac:dyDescent="0.25">
      <c r="A38" s="2">
        <f t="shared" si="15"/>
        <v>6</v>
      </c>
      <c r="B38" s="178">
        <f t="shared" si="11"/>
        <v>1035.6472727499563</v>
      </c>
      <c r="C38" s="2">
        <v>0</v>
      </c>
      <c r="D38" s="2">
        <v>117</v>
      </c>
      <c r="E38" s="177">
        <f t="shared" si="12"/>
        <v>18263.388789760975</v>
      </c>
      <c r="G38" s="3">
        <f t="shared" si="13"/>
        <v>6</v>
      </c>
      <c r="H38" s="11"/>
      <c r="I38" s="11">
        <f t="shared" si="14"/>
        <v>18263.388789760975</v>
      </c>
      <c r="J38" s="12">
        <f t="shared" si="9"/>
        <v>-18263.388789760975</v>
      </c>
      <c r="K38" s="13">
        <f t="shared" si="10"/>
        <v>-9252.8011390539123</v>
      </c>
    </row>
    <row r="39" spans="1:13" x14ac:dyDescent="0.25">
      <c r="A39" s="2">
        <f t="shared" si="15"/>
        <v>7</v>
      </c>
      <c r="B39" s="178">
        <f t="shared" si="11"/>
        <v>728.73425925127356</v>
      </c>
      <c r="C39" s="2">
        <v>0</v>
      </c>
      <c r="D39" s="2">
        <v>117</v>
      </c>
      <c r="E39" s="177">
        <f t="shared" si="12"/>
        <v>17956.47577626229</v>
      </c>
      <c r="G39" s="3">
        <f t="shared" si="13"/>
        <v>7</v>
      </c>
      <c r="H39" s="11"/>
      <c r="I39" s="11">
        <f t="shared" si="14"/>
        <v>17956.47577626229</v>
      </c>
      <c r="J39" s="12">
        <f t="shared" si="9"/>
        <v>-17956.47577626229</v>
      </c>
      <c r="K39" s="13">
        <f t="shared" si="10"/>
        <v>-8122.5977276081812</v>
      </c>
    </row>
    <row r="40" spans="1:13" x14ac:dyDescent="0.25">
      <c r="A40" s="2">
        <f t="shared" si="15"/>
        <v>8</v>
      </c>
      <c r="B40" s="178">
        <f t="shared" si="11"/>
        <v>384.99168413274873</v>
      </c>
      <c r="C40" s="2">
        <v>0</v>
      </c>
      <c r="D40" s="2">
        <v>117</v>
      </c>
      <c r="E40" s="177">
        <f t="shared" si="12"/>
        <v>17612.733201143768</v>
      </c>
      <c r="G40" s="3">
        <f t="shared" si="13"/>
        <v>8</v>
      </c>
      <c r="H40" s="11"/>
      <c r="I40" s="11">
        <f t="shared" si="14"/>
        <v>17612.733201143768</v>
      </c>
      <c r="J40" s="12">
        <f t="shared" si="9"/>
        <v>-17612.733201143768</v>
      </c>
      <c r="K40" s="13">
        <f t="shared" si="10"/>
        <v>-7113.4875388173523</v>
      </c>
    </row>
    <row r="41" spans="1:13" ht="15.75" thickBot="1" x14ac:dyDescent="0.3">
      <c r="B41" s="179"/>
      <c r="C41" s="179"/>
      <c r="D41" s="179"/>
      <c r="E41" s="180">
        <f t="shared" si="12"/>
        <v>0</v>
      </c>
    </row>
    <row r="42" spans="1:13" ht="19.5" thickBot="1" x14ac:dyDescent="0.35">
      <c r="A42" s="43" t="s">
        <v>163</v>
      </c>
      <c r="B42" s="2">
        <v>10896.045748578521</v>
      </c>
      <c r="C42" s="2">
        <v>1700</v>
      </c>
      <c r="D42" s="2">
        <v>936</v>
      </c>
      <c r="E42" s="2">
        <v>150417.97788466667</v>
      </c>
      <c r="G42" s="181" t="s">
        <v>13</v>
      </c>
      <c r="H42" s="182">
        <f>IRR(J32:J40)</f>
        <v>0.15253305031227016</v>
      </c>
      <c r="I42" s="183" t="s">
        <v>165</v>
      </c>
    </row>
    <row r="45" spans="1:13" x14ac:dyDescent="0.25">
      <c r="E45" s="80" t="s">
        <v>164</v>
      </c>
      <c r="F45" s="80"/>
      <c r="G45" s="80"/>
      <c r="H45" s="80"/>
      <c r="I45" s="80"/>
      <c r="J45" s="80"/>
      <c r="K45" s="80"/>
      <c r="L45" s="80"/>
      <c r="M45" s="8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3"/>
  <sheetViews>
    <sheetView tabSelected="1" topLeftCell="A63" workbookViewId="0">
      <selection activeCell="G83" sqref="G83"/>
    </sheetView>
  </sheetViews>
  <sheetFormatPr baseColWidth="10" defaultRowHeight="15" x14ac:dyDescent="0.25"/>
  <cols>
    <col min="2" max="2" width="14.5703125" bestFit="1" customWidth="1"/>
    <col min="3" max="3" width="20.5703125" customWidth="1"/>
    <col min="4" max="4" width="14.7109375" customWidth="1"/>
    <col min="5" max="5" width="15" customWidth="1"/>
    <col min="6" max="7" width="12.5703125" bestFit="1" customWidth="1"/>
  </cols>
  <sheetData>
    <row r="2" spans="1:9" x14ac:dyDescent="0.25">
      <c r="A2" t="s">
        <v>207</v>
      </c>
    </row>
    <row r="4" spans="1:9" x14ac:dyDescent="0.25">
      <c r="B4" s="77" t="s">
        <v>79</v>
      </c>
    </row>
    <row r="5" spans="1:9" ht="75" x14ac:dyDescent="0.25">
      <c r="A5" s="70" t="s">
        <v>63</v>
      </c>
      <c r="B5" s="71" t="s">
        <v>76</v>
      </c>
      <c r="C5" s="71" t="s">
        <v>189</v>
      </c>
      <c r="D5" s="71" t="s">
        <v>91</v>
      </c>
      <c r="E5" s="71" t="s">
        <v>187</v>
      </c>
      <c r="F5" s="71" t="s">
        <v>64</v>
      </c>
    </row>
    <row r="6" spans="1:9" x14ac:dyDescent="0.25">
      <c r="A6" s="2">
        <v>1</v>
      </c>
      <c r="B6" s="7">
        <f>I8</f>
        <v>85000</v>
      </c>
      <c r="C6" s="86">
        <f>E6+D6</f>
        <v>20825</v>
      </c>
      <c r="D6" s="7">
        <f>B6*$I$6</f>
        <v>10200</v>
      </c>
      <c r="E6" s="7">
        <f>$I$10</f>
        <v>10625</v>
      </c>
      <c r="F6" s="7">
        <f>E6</f>
        <v>10625</v>
      </c>
      <c r="H6" s="72" t="s">
        <v>88</v>
      </c>
      <c r="I6" s="73">
        <v>0.12</v>
      </c>
    </row>
    <row r="7" spans="1:9" x14ac:dyDescent="0.25">
      <c r="A7" s="85">
        <f>A6+1</f>
        <v>2</v>
      </c>
      <c r="B7" s="86">
        <f>B6-E6</f>
        <v>74375</v>
      </c>
      <c r="C7" s="86">
        <f t="shared" ref="C7:C13" si="0">E7+D7</f>
        <v>0</v>
      </c>
      <c r="D7" s="86">
        <f t="shared" ref="D6:D13" si="1">B7*$I$100</f>
        <v>0</v>
      </c>
      <c r="E7" s="86">
        <f t="shared" ref="E6:E13" si="2">$I$104</f>
        <v>0</v>
      </c>
      <c r="F7" s="86">
        <f>F6+E7</f>
        <v>10625</v>
      </c>
      <c r="H7" s="72" t="s">
        <v>5</v>
      </c>
      <c r="I7" s="72">
        <v>8</v>
      </c>
    </row>
    <row r="8" spans="1:9" ht="15.75" thickBot="1" x14ac:dyDescent="0.3">
      <c r="A8" s="85">
        <f t="shared" ref="A8:A13" si="3">A7+1</f>
        <v>3</v>
      </c>
      <c r="B8" s="86"/>
      <c r="C8" s="86">
        <f t="shared" si="0"/>
        <v>0</v>
      </c>
      <c r="D8" s="86">
        <f t="shared" si="1"/>
        <v>0</v>
      </c>
      <c r="E8" s="86">
        <f t="shared" si="2"/>
        <v>0</v>
      </c>
      <c r="F8" s="86">
        <f>F7+E8</f>
        <v>10625</v>
      </c>
      <c r="H8" s="72" t="s">
        <v>90</v>
      </c>
      <c r="I8" s="72">
        <f>85000</f>
        <v>85000</v>
      </c>
    </row>
    <row r="9" spans="1:9" x14ac:dyDescent="0.25">
      <c r="A9" s="85">
        <f t="shared" si="3"/>
        <v>4</v>
      </c>
      <c r="B9" s="86"/>
      <c r="C9" s="86">
        <f t="shared" si="0"/>
        <v>0</v>
      </c>
      <c r="D9" s="86">
        <f t="shared" si="1"/>
        <v>0</v>
      </c>
      <c r="E9" s="86">
        <f t="shared" si="2"/>
        <v>0</v>
      </c>
      <c r="F9" s="86">
        <f>F8+E9</f>
        <v>10625</v>
      </c>
      <c r="H9" s="259" t="s">
        <v>80</v>
      </c>
      <c r="I9" s="275" t="s">
        <v>81</v>
      </c>
    </row>
    <row r="10" spans="1:9" ht="15.75" thickBot="1" x14ac:dyDescent="0.3">
      <c r="A10" s="85">
        <f t="shared" si="3"/>
        <v>5</v>
      </c>
      <c r="B10" s="86"/>
      <c r="C10" s="86">
        <f t="shared" si="0"/>
        <v>0</v>
      </c>
      <c r="D10" s="86">
        <f t="shared" si="1"/>
        <v>0</v>
      </c>
      <c r="E10" s="86">
        <f t="shared" si="2"/>
        <v>0</v>
      </c>
      <c r="F10" s="86">
        <f t="shared" ref="F10:F13" si="4">F9+E10</f>
        <v>10625</v>
      </c>
      <c r="H10" s="276" t="s">
        <v>80</v>
      </c>
      <c r="I10" s="277">
        <f>I8/I7</f>
        <v>10625</v>
      </c>
    </row>
    <row r="11" spans="1:9" x14ac:dyDescent="0.25">
      <c r="A11" s="85">
        <f t="shared" si="3"/>
        <v>6</v>
      </c>
      <c r="B11" s="86"/>
      <c r="C11" s="86">
        <f t="shared" si="0"/>
        <v>0</v>
      </c>
      <c r="D11" s="86">
        <f t="shared" si="1"/>
        <v>0</v>
      </c>
      <c r="E11" s="86">
        <f t="shared" si="2"/>
        <v>0</v>
      </c>
      <c r="F11" s="86">
        <f t="shared" si="4"/>
        <v>10625</v>
      </c>
    </row>
    <row r="12" spans="1:9" x14ac:dyDescent="0.25">
      <c r="A12" s="85">
        <f t="shared" si="3"/>
        <v>7</v>
      </c>
      <c r="B12" s="86"/>
      <c r="C12" s="86">
        <f t="shared" si="0"/>
        <v>0</v>
      </c>
      <c r="D12" s="86">
        <f t="shared" si="1"/>
        <v>0</v>
      </c>
      <c r="E12" s="86">
        <f t="shared" si="2"/>
        <v>0</v>
      </c>
      <c r="F12" s="86">
        <f t="shared" si="4"/>
        <v>10625</v>
      </c>
      <c r="G12" s="60" t="s">
        <v>84</v>
      </c>
      <c r="H12" s="60"/>
    </row>
    <row r="13" spans="1:9" x14ac:dyDescent="0.25">
      <c r="A13" s="85">
        <f t="shared" si="3"/>
        <v>8</v>
      </c>
      <c r="B13" s="86"/>
      <c r="C13" s="86">
        <f t="shared" si="0"/>
        <v>0</v>
      </c>
      <c r="D13" s="86">
        <f t="shared" si="1"/>
        <v>0</v>
      </c>
      <c r="E13" s="86">
        <f t="shared" si="2"/>
        <v>0</v>
      </c>
      <c r="F13" s="307">
        <f t="shared" si="4"/>
        <v>10625</v>
      </c>
      <c r="G13" s="60" t="s">
        <v>73</v>
      </c>
      <c r="H13" s="60"/>
    </row>
    <row r="14" spans="1:9" x14ac:dyDescent="0.25">
      <c r="A14" s="308"/>
      <c r="B14" s="85"/>
      <c r="C14" s="309"/>
      <c r="D14" s="308"/>
      <c r="E14" s="309"/>
      <c r="F14" s="85"/>
      <c r="G14" s="60" t="s">
        <v>85</v>
      </c>
      <c r="H14" s="60"/>
    </row>
    <row r="18" spans="1:12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</row>
    <row r="19" spans="1:12" x14ac:dyDescent="0.25">
      <c r="A19" s="310"/>
      <c r="B19" s="125"/>
      <c r="C19" s="310"/>
      <c r="D19" s="125"/>
      <c r="E19" s="125"/>
      <c r="F19" s="125"/>
      <c r="G19" s="108"/>
      <c r="H19" s="108"/>
      <c r="I19" s="108"/>
      <c r="J19" s="108"/>
      <c r="K19" s="108"/>
      <c r="L19" s="108"/>
    </row>
    <row r="20" spans="1:12" x14ac:dyDescent="0.25">
      <c r="A20" s="108"/>
      <c r="B20" s="109"/>
      <c r="C20" s="109"/>
      <c r="D20" s="109"/>
      <c r="E20" s="109"/>
      <c r="F20" s="109"/>
      <c r="G20" s="108"/>
      <c r="H20" s="108"/>
      <c r="I20" s="108"/>
      <c r="J20" s="108"/>
      <c r="K20" s="108"/>
      <c r="L20" s="108"/>
    </row>
    <row r="21" spans="1:12" x14ac:dyDescent="0.25">
      <c r="A21" s="108"/>
      <c r="B21" s="109"/>
      <c r="C21" s="109"/>
      <c r="D21" s="109"/>
      <c r="E21" s="109"/>
      <c r="F21" s="109"/>
      <c r="G21" s="108"/>
      <c r="H21" s="108"/>
      <c r="I21" s="108"/>
      <c r="J21" s="311"/>
      <c r="K21" s="108"/>
      <c r="L21" s="108"/>
    </row>
    <row r="22" spans="1:12" x14ac:dyDescent="0.25">
      <c r="A22" s="108"/>
      <c r="B22" s="109"/>
      <c r="C22" s="109"/>
      <c r="D22" s="109"/>
      <c r="E22" s="109"/>
      <c r="F22" s="109"/>
      <c r="G22" s="108"/>
      <c r="H22" s="108"/>
      <c r="I22" s="108"/>
      <c r="J22" s="108"/>
      <c r="K22" s="108"/>
      <c r="L22" s="108"/>
    </row>
    <row r="23" spans="1:12" x14ac:dyDescent="0.25">
      <c r="A23" s="108"/>
      <c r="B23" s="109"/>
      <c r="C23" s="109"/>
      <c r="D23" s="109"/>
      <c r="E23" s="109"/>
      <c r="F23" s="109"/>
      <c r="G23" s="108"/>
      <c r="H23" s="108"/>
      <c r="I23" s="108"/>
      <c r="J23" s="108"/>
      <c r="K23" s="108"/>
      <c r="L23" s="108"/>
    </row>
    <row r="24" spans="1:12" x14ac:dyDescent="0.25">
      <c r="A24" s="108"/>
      <c r="B24" s="109"/>
      <c r="C24" s="109"/>
      <c r="D24" s="109"/>
      <c r="E24" s="109"/>
      <c r="F24" s="109"/>
      <c r="G24" s="108"/>
      <c r="H24" s="108"/>
      <c r="I24" s="108"/>
      <c r="J24" s="108"/>
      <c r="K24" s="108"/>
      <c r="L24" s="108"/>
    </row>
    <row r="25" spans="1:12" x14ac:dyDescent="0.25">
      <c r="A25" s="108"/>
      <c r="B25" s="109"/>
      <c r="C25" s="109"/>
      <c r="D25" s="109"/>
      <c r="E25" s="109"/>
      <c r="F25" s="109"/>
      <c r="G25" s="312"/>
      <c r="H25" s="108"/>
      <c r="I25" s="108"/>
      <c r="J25" s="108"/>
      <c r="K25" s="108"/>
      <c r="L25" s="108"/>
    </row>
    <row r="26" spans="1:12" x14ac:dyDescent="0.25">
      <c r="A26" s="108"/>
      <c r="B26" s="109"/>
      <c r="C26" s="109"/>
      <c r="D26" s="109"/>
      <c r="E26" s="109"/>
      <c r="F26" s="109"/>
      <c r="G26" s="312"/>
      <c r="H26" s="108"/>
      <c r="I26" s="108"/>
      <c r="J26" s="108"/>
      <c r="K26" s="108"/>
      <c r="L26" s="108"/>
    </row>
    <row r="27" spans="1:12" x14ac:dyDescent="0.25">
      <c r="B27" s="77" t="s">
        <v>69</v>
      </c>
      <c r="J27" s="108"/>
      <c r="K27" s="108"/>
      <c r="L27" s="108"/>
    </row>
    <row r="28" spans="1:12" ht="60" x14ac:dyDescent="0.25">
      <c r="A28" s="70" t="s">
        <v>63</v>
      </c>
      <c r="B28" s="71" t="s">
        <v>76</v>
      </c>
      <c r="C28" s="70" t="s">
        <v>70</v>
      </c>
      <c r="D28" s="71" t="s">
        <v>91</v>
      </c>
      <c r="E28" s="71" t="s">
        <v>92</v>
      </c>
      <c r="F28" s="71" t="s">
        <v>64</v>
      </c>
      <c r="J28" s="108"/>
      <c r="K28" s="108"/>
      <c r="L28" s="108"/>
    </row>
    <row r="29" spans="1:12" x14ac:dyDescent="0.25">
      <c r="A29" s="85">
        <v>1</v>
      </c>
      <c r="B29" s="86">
        <f>I32</f>
        <v>85000</v>
      </c>
      <c r="C29" s="86">
        <f>$I$30</f>
        <v>17110.740000000002</v>
      </c>
      <c r="D29" s="86">
        <f>B29*$I$29</f>
        <v>10200</v>
      </c>
      <c r="E29" s="86">
        <f>C29-D29</f>
        <v>6910.7400000000016</v>
      </c>
      <c r="F29" s="86">
        <f>E29</f>
        <v>6910.7400000000016</v>
      </c>
      <c r="H29" s="72" t="s">
        <v>88</v>
      </c>
      <c r="I29" s="73">
        <v>0.12</v>
      </c>
      <c r="J29" s="108"/>
      <c r="K29" s="108"/>
      <c r="L29" s="108"/>
    </row>
    <row r="30" spans="1:12" x14ac:dyDescent="0.25">
      <c r="A30" s="85">
        <f>A29+1</f>
        <v>2</v>
      </c>
      <c r="B30" s="86">
        <f>B29-E29</f>
        <v>78089.259999999995</v>
      </c>
      <c r="C30" s="86"/>
      <c r="D30" s="86"/>
      <c r="E30" s="86"/>
      <c r="F30" s="86">
        <f>F29+E30</f>
        <v>6910.7400000000016</v>
      </c>
      <c r="H30" s="72" t="s">
        <v>89</v>
      </c>
      <c r="I30" s="72">
        <f>17110.74</f>
        <v>17110.740000000002</v>
      </c>
      <c r="J30" s="108"/>
      <c r="K30" s="108"/>
      <c r="L30" s="108"/>
    </row>
    <row r="31" spans="1:12" x14ac:dyDescent="0.25">
      <c r="A31" s="85">
        <f t="shared" ref="A31:A36" si="5">A30+1</f>
        <v>3</v>
      </c>
      <c r="B31" s="86"/>
      <c r="C31" s="86"/>
      <c r="D31" s="86"/>
      <c r="E31" s="86"/>
      <c r="F31" s="86"/>
      <c r="H31" s="72" t="s">
        <v>5</v>
      </c>
      <c r="I31" s="72">
        <v>8</v>
      </c>
      <c r="J31" s="108"/>
      <c r="K31" s="108"/>
      <c r="L31" s="108"/>
    </row>
    <row r="32" spans="1:12" x14ac:dyDescent="0.25">
      <c r="A32" s="85">
        <f t="shared" si="5"/>
        <v>4</v>
      </c>
      <c r="B32" s="86"/>
      <c r="C32" s="86"/>
      <c r="D32" s="86"/>
      <c r="E32" s="86"/>
      <c r="F32" s="86"/>
      <c r="H32" s="72" t="s">
        <v>90</v>
      </c>
      <c r="I32" s="72">
        <f>85000</f>
        <v>85000</v>
      </c>
    </row>
    <row r="33" spans="1:9" x14ac:dyDescent="0.25">
      <c r="A33" s="85">
        <f t="shared" si="5"/>
        <v>5</v>
      </c>
      <c r="B33" s="86"/>
      <c r="C33" s="86"/>
      <c r="D33" s="86"/>
      <c r="E33" s="86"/>
      <c r="F33" s="86"/>
    </row>
    <row r="34" spans="1:9" x14ac:dyDescent="0.25">
      <c r="A34" s="85">
        <f t="shared" si="5"/>
        <v>6</v>
      </c>
      <c r="B34" s="86"/>
      <c r="C34" s="86"/>
      <c r="D34" s="86"/>
      <c r="E34" s="86"/>
      <c r="F34" s="86"/>
      <c r="G34" s="76" t="s">
        <v>75</v>
      </c>
      <c r="H34" s="76"/>
    </row>
    <row r="35" spans="1:9" x14ac:dyDescent="0.25">
      <c r="A35" s="85">
        <f t="shared" si="5"/>
        <v>7</v>
      </c>
      <c r="B35" s="86"/>
      <c r="C35" s="86"/>
      <c r="D35" s="86"/>
      <c r="E35" s="86"/>
      <c r="F35" s="86"/>
      <c r="G35" s="76" t="s">
        <v>73</v>
      </c>
      <c r="H35" s="76"/>
    </row>
    <row r="36" spans="1:9" x14ac:dyDescent="0.25">
      <c r="A36" s="85">
        <f t="shared" si="5"/>
        <v>8</v>
      </c>
      <c r="B36" s="86"/>
      <c r="C36" s="86"/>
      <c r="D36" s="86"/>
      <c r="E36" s="86"/>
      <c r="F36" s="307"/>
      <c r="G36" s="76" t="s">
        <v>74</v>
      </c>
      <c r="H36" s="76"/>
    </row>
    <row r="37" spans="1:9" x14ac:dyDescent="0.25">
      <c r="A37" s="308"/>
      <c r="B37" s="85"/>
      <c r="C37" s="309"/>
      <c r="D37" s="308"/>
      <c r="E37" s="309"/>
      <c r="F37" s="85"/>
    </row>
    <row r="46" spans="1:9" x14ac:dyDescent="0.25">
      <c r="A46" s="94" t="s">
        <v>42</v>
      </c>
      <c r="B46" s="95" t="s">
        <v>101</v>
      </c>
      <c r="C46" s="95" t="s">
        <v>36</v>
      </c>
      <c r="D46" s="95" t="s">
        <v>37</v>
      </c>
    </row>
    <row r="47" spans="1:9" x14ac:dyDescent="0.25">
      <c r="A47" s="41">
        <v>1</v>
      </c>
      <c r="B47" s="7">
        <v>5000000</v>
      </c>
      <c r="C47" s="23">
        <v>110000</v>
      </c>
      <c r="D47" s="7">
        <v>350000</v>
      </c>
      <c r="H47" s="252"/>
      <c r="I47" s="313"/>
    </row>
    <row r="48" spans="1:9" x14ac:dyDescent="0.25">
      <c r="A48" s="41">
        <v>2</v>
      </c>
      <c r="B48" s="2"/>
      <c r="C48" s="23">
        <v>110000</v>
      </c>
      <c r="D48" s="7">
        <v>350000</v>
      </c>
      <c r="H48" s="252"/>
      <c r="I48" s="314"/>
    </row>
    <row r="49" spans="1:9" x14ac:dyDescent="0.25">
      <c r="A49" s="41">
        <v>3</v>
      </c>
      <c r="B49" s="2"/>
      <c r="C49" s="23">
        <v>110000</v>
      </c>
      <c r="D49" s="7">
        <v>350000</v>
      </c>
      <c r="H49" s="252"/>
      <c r="I49" s="315"/>
    </row>
    <row r="50" spans="1:9" x14ac:dyDescent="0.25">
      <c r="A50" s="41">
        <v>4</v>
      </c>
      <c r="B50" s="2"/>
      <c r="C50" s="23">
        <v>110000</v>
      </c>
      <c r="D50" s="7">
        <v>350000</v>
      </c>
      <c r="H50" s="252"/>
      <c r="I50" s="252"/>
    </row>
    <row r="51" spans="1:9" x14ac:dyDescent="0.25">
      <c r="A51" s="53">
        <f>A50+1</f>
        <v>5</v>
      </c>
      <c r="B51" s="2"/>
      <c r="C51" s="23">
        <v>110000</v>
      </c>
      <c r="D51" s="7">
        <v>350000</v>
      </c>
    </row>
    <row r="52" spans="1:9" x14ac:dyDescent="0.25">
      <c r="A52" s="53">
        <f t="shared" ref="A52:A58" si="6">A51+1</f>
        <v>6</v>
      </c>
      <c r="B52" s="2"/>
      <c r="C52" s="23">
        <v>110000</v>
      </c>
      <c r="D52" s="7">
        <v>350000</v>
      </c>
    </row>
    <row r="53" spans="1:9" x14ac:dyDescent="0.25">
      <c r="A53" s="53">
        <f t="shared" si="6"/>
        <v>7</v>
      </c>
      <c r="B53" s="2"/>
      <c r="C53" s="23">
        <v>110000</v>
      </c>
      <c r="D53" s="7">
        <v>350000</v>
      </c>
    </row>
    <row r="54" spans="1:9" x14ac:dyDescent="0.25">
      <c r="A54" s="53">
        <f t="shared" si="6"/>
        <v>8</v>
      </c>
      <c r="B54" s="2"/>
      <c r="C54" s="23">
        <v>110000</v>
      </c>
      <c r="D54" s="7">
        <v>350000</v>
      </c>
    </row>
    <row r="55" spans="1:9" x14ac:dyDescent="0.25">
      <c r="A55" s="53">
        <f t="shared" si="6"/>
        <v>9</v>
      </c>
      <c r="B55" s="2"/>
      <c r="C55" s="23">
        <v>110000</v>
      </c>
      <c r="D55" s="7">
        <v>350000</v>
      </c>
    </row>
    <row r="56" spans="1:9" x14ac:dyDescent="0.25">
      <c r="A56" s="53">
        <f t="shared" si="6"/>
        <v>10</v>
      </c>
      <c r="B56" s="2"/>
      <c r="C56" s="23">
        <v>110000</v>
      </c>
      <c r="D56" s="7">
        <v>350000</v>
      </c>
    </row>
    <row r="57" spans="1:9" x14ac:dyDescent="0.25">
      <c r="A57" s="53">
        <f t="shared" si="6"/>
        <v>11</v>
      </c>
      <c r="B57" s="2"/>
      <c r="C57" s="23">
        <v>110000</v>
      </c>
      <c r="D57" s="7">
        <v>350000</v>
      </c>
    </row>
    <row r="58" spans="1:9" x14ac:dyDescent="0.25">
      <c r="A58" s="53">
        <f t="shared" si="6"/>
        <v>12</v>
      </c>
      <c r="B58" s="2"/>
      <c r="C58" s="23">
        <v>110000</v>
      </c>
      <c r="D58" s="7">
        <v>350000</v>
      </c>
      <c r="E58" s="8">
        <f>4000000</f>
        <v>4000000</v>
      </c>
    </row>
    <row r="59" spans="1:9" x14ac:dyDescent="0.25">
      <c r="C59" s="21"/>
    </row>
    <row r="66" spans="1:11" x14ac:dyDescent="0.25">
      <c r="A66" s="100" t="s">
        <v>51</v>
      </c>
    </row>
    <row r="67" spans="1:11" x14ac:dyDescent="0.25">
      <c r="A67" s="95" t="s">
        <v>43</v>
      </c>
      <c r="B67" s="95" t="s">
        <v>44</v>
      </c>
      <c r="C67" s="95" t="s">
        <v>45</v>
      </c>
      <c r="D67" s="95" t="s">
        <v>55</v>
      </c>
      <c r="E67" s="95" t="s">
        <v>116</v>
      </c>
    </row>
    <row r="68" spans="1:11" x14ac:dyDescent="0.25">
      <c r="A68" s="2">
        <v>0</v>
      </c>
      <c r="B68" s="7">
        <f>B47+C47/2</f>
        <v>5055000</v>
      </c>
      <c r="C68" s="7">
        <f>D47/2</f>
        <v>175000</v>
      </c>
      <c r="D68" s="7">
        <f>C68-B68</f>
        <v>-4880000</v>
      </c>
      <c r="E68" s="7">
        <f>D68/(1+$H$89)^A68</f>
        <v>-4880000</v>
      </c>
      <c r="F68" s="317">
        <f>B68/(1+2.1%)^A68</f>
        <v>5055000</v>
      </c>
      <c r="G68" s="317">
        <f>C68/(1+2.1%)^A68</f>
        <v>175000</v>
      </c>
    </row>
    <row r="69" spans="1:11" x14ac:dyDescent="0.25">
      <c r="A69" s="2">
        <v>1</v>
      </c>
      <c r="B69" s="7">
        <f>C47/2+C48/2</f>
        <v>110000</v>
      </c>
      <c r="C69" s="7">
        <f>D47/2+D48/2</f>
        <v>350000</v>
      </c>
      <c r="D69" s="7">
        <f t="shared" ref="D69:D80" si="7">C69-B69</f>
        <v>240000</v>
      </c>
      <c r="E69" s="7">
        <f t="shared" ref="E68:E73" si="8">D69/(1+$H$89)^A69</f>
        <v>240000</v>
      </c>
      <c r="F69" s="317">
        <f t="shared" ref="F69:F80" si="9">B69/(1+2.1%)^A69</f>
        <v>107737.51224289913</v>
      </c>
      <c r="G69" s="317">
        <f t="shared" ref="G69:G80" si="10">C69/(1+2.1%)^A69</f>
        <v>342801.17531831539</v>
      </c>
      <c r="H69" s="153"/>
      <c r="I69" s="154"/>
      <c r="J69" s="210"/>
      <c r="K69" s="59"/>
    </row>
    <row r="70" spans="1:11" x14ac:dyDescent="0.25">
      <c r="A70" s="2">
        <v>2</v>
      </c>
      <c r="B70" s="7">
        <f>C48/2+C49/2</f>
        <v>110000</v>
      </c>
      <c r="C70" s="7">
        <f>D48/2+D49/2</f>
        <v>350000</v>
      </c>
      <c r="D70" s="7">
        <f t="shared" si="7"/>
        <v>240000</v>
      </c>
      <c r="E70" s="7">
        <f t="shared" si="8"/>
        <v>240000</v>
      </c>
      <c r="F70" s="317">
        <f t="shared" si="9"/>
        <v>105521.55949353491</v>
      </c>
      <c r="G70" s="317">
        <f t="shared" si="10"/>
        <v>335750.41657033836</v>
      </c>
    </row>
    <row r="71" spans="1:11" x14ac:dyDescent="0.25">
      <c r="A71" s="2">
        <v>3</v>
      </c>
      <c r="B71" s="7">
        <f t="shared" ref="B71:B80" si="11">C49/2+C50/2</f>
        <v>110000</v>
      </c>
      <c r="C71" s="7">
        <f t="shared" ref="B70:C80" si="12">D49/2+D50/2</f>
        <v>350000</v>
      </c>
      <c r="D71" s="7">
        <f t="shared" si="7"/>
        <v>240000</v>
      </c>
      <c r="E71" s="7">
        <f t="shared" si="8"/>
        <v>240000</v>
      </c>
      <c r="F71" s="317">
        <f t="shared" si="9"/>
        <v>103351.1846165866</v>
      </c>
      <c r="G71" s="317">
        <f t="shared" si="10"/>
        <v>328844.67832550284</v>
      </c>
      <c r="H71" s="152"/>
      <c r="I71" s="152"/>
      <c r="J71" s="157"/>
      <c r="K71" s="38"/>
    </row>
    <row r="72" spans="1:11" x14ac:dyDescent="0.25">
      <c r="A72" s="2">
        <v>4</v>
      </c>
      <c r="B72" s="7">
        <f t="shared" si="11"/>
        <v>110000</v>
      </c>
      <c r="C72" s="7">
        <f t="shared" si="12"/>
        <v>350000</v>
      </c>
      <c r="D72" s="7">
        <f t="shared" si="7"/>
        <v>240000</v>
      </c>
      <c r="E72" s="7">
        <f t="shared" si="8"/>
        <v>240000</v>
      </c>
      <c r="F72" s="317">
        <f t="shared" si="9"/>
        <v>101225.45016316025</v>
      </c>
      <c r="G72" s="317">
        <f t="shared" si="10"/>
        <v>322080.97779187356</v>
      </c>
    </row>
    <row r="73" spans="1:11" x14ac:dyDescent="0.25">
      <c r="A73" s="2">
        <v>5</v>
      </c>
      <c r="B73" s="7">
        <f t="shared" si="11"/>
        <v>110000</v>
      </c>
      <c r="C73" s="7">
        <f t="shared" si="12"/>
        <v>350000</v>
      </c>
      <c r="D73" s="7">
        <f t="shared" si="7"/>
        <v>240000</v>
      </c>
      <c r="E73" s="7">
        <f t="shared" si="8"/>
        <v>240000</v>
      </c>
      <c r="F73" s="317">
        <f t="shared" si="9"/>
        <v>99143.437965876859</v>
      </c>
      <c r="G73" s="317">
        <f t="shared" si="10"/>
        <v>315456.39352778997</v>
      </c>
    </row>
    <row r="74" spans="1:11" x14ac:dyDescent="0.25">
      <c r="A74" s="2">
        <f>A73+1</f>
        <v>6</v>
      </c>
      <c r="B74" s="7">
        <f t="shared" si="11"/>
        <v>110000</v>
      </c>
      <c r="C74" s="7">
        <f t="shared" si="12"/>
        <v>350000</v>
      </c>
      <c r="D74" s="7">
        <f t="shared" si="7"/>
        <v>240000</v>
      </c>
      <c r="E74" s="110"/>
      <c r="F74" s="317">
        <f t="shared" si="9"/>
        <v>97104.248742288793</v>
      </c>
      <c r="G74" s="317">
        <f t="shared" si="10"/>
        <v>308968.06418000982</v>
      </c>
    </row>
    <row r="75" spans="1:11" x14ac:dyDescent="0.25">
      <c r="A75" s="2">
        <f t="shared" ref="A75:A80" si="13">A74+1</f>
        <v>7</v>
      </c>
      <c r="B75" s="7">
        <f t="shared" si="11"/>
        <v>110000</v>
      </c>
      <c r="C75" s="7">
        <f t="shared" si="12"/>
        <v>350000</v>
      </c>
      <c r="D75" s="7">
        <f t="shared" si="7"/>
        <v>240000</v>
      </c>
      <c r="F75" s="317">
        <f t="shared" si="9"/>
        <v>95107.001706453288</v>
      </c>
      <c r="G75" s="317">
        <f t="shared" si="10"/>
        <v>302613.18724780594</v>
      </c>
    </row>
    <row r="76" spans="1:11" x14ac:dyDescent="0.25">
      <c r="A76" s="2">
        <f t="shared" si="13"/>
        <v>8</v>
      </c>
      <c r="B76" s="7">
        <f t="shared" si="11"/>
        <v>110000</v>
      </c>
      <c r="C76" s="7">
        <f t="shared" si="12"/>
        <v>350000</v>
      </c>
      <c r="D76" s="7">
        <f t="shared" si="7"/>
        <v>240000</v>
      </c>
      <c r="F76" s="317">
        <f t="shared" si="9"/>
        <v>93150.834188494904</v>
      </c>
      <c r="G76" s="317">
        <f t="shared" si="10"/>
        <v>296389.01787248382</v>
      </c>
    </row>
    <row r="77" spans="1:11" x14ac:dyDescent="0.25">
      <c r="A77" s="2">
        <f t="shared" si="13"/>
        <v>9</v>
      </c>
      <c r="B77" s="7">
        <f t="shared" si="11"/>
        <v>110000</v>
      </c>
      <c r="C77" s="7">
        <f t="shared" si="12"/>
        <v>350000</v>
      </c>
      <c r="D77" s="7">
        <f t="shared" si="7"/>
        <v>240000</v>
      </c>
      <c r="F77" s="317">
        <f t="shared" si="9"/>
        <v>91234.901261993073</v>
      </c>
      <c r="G77" s="317">
        <f t="shared" si="10"/>
        <v>290292.86765179614</v>
      </c>
    </row>
    <row r="78" spans="1:11" x14ac:dyDescent="0.25">
      <c r="A78" s="2">
        <f t="shared" si="13"/>
        <v>10</v>
      </c>
      <c r="B78" s="7">
        <f t="shared" si="11"/>
        <v>110000</v>
      </c>
      <c r="C78" s="7">
        <f t="shared" si="12"/>
        <v>350000</v>
      </c>
      <c r="D78" s="7">
        <f t="shared" si="7"/>
        <v>240000</v>
      </c>
      <c r="F78" s="317">
        <f t="shared" si="9"/>
        <v>89358.375379033387</v>
      </c>
      <c r="G78" s="317">
        <f t="shared" si="10"/>
        <v>284322.10347874259</v>
      </c>
    </row>
    <row r="79" spans="1:11" x14ac:dyDescent="0.25">
      <c r="A79" s="2">
        <f t="shared" si="13"/>
        <v>11</v>
      </c>
      <c r="B79" s="7">
        <f t="shared" si="11"/>
        <v>110000</v>
      </c>
      <c r="C79" s="7">
        <f t="shared" si="12"/>
        <v>350000</v>
      </c>
      <c r="D79" s="7">
        <f t="shared" si="7"/>
        <v>240000</v>
      </c>
      <c r="F79" s="317">
        <f t="shared" si="9"/>
        <v>87520.446012765315</v>
      </c>
      <c r="G79" s="317">
        <f t="shared" si="10"/>
        <v>278474.14640425326</v>
      </c>
    </row>
    <row r="80" spans="1:11" x14ac:dyDescent="0.25">
      <c r="A80" s="2">
        <f t="shared" si="13"/>
        <v>12</v>
      </c>
      <c r="B80" s="7">
        <f t="shared" si="11"/>
        <v>55000</v>
      </c>
      <c r="C80" s="7">
        <f>D58/2+D59/2+E58</f>
        <v>4175000</v>
      </c>
      <c r="D80" s="7">
        <f t="shared" si="7"/>
        <v>4120000</v>
      </c>
      <c r="F80" s="317">
        <f t="shared" si="9"/>
        <v>42860.159653655894</v>
      </c>
      <c r="G80" s="317">
        <f t="shared" si="10"/>
        <v>3253475.7555275154</v>
      </c>
    </row>
    <row r="81" spans="2:7" x14ac:dyDescent="0.25">
      <c r="B81" s="122">
        <f>SUM(B68:B80)</f>
        <v>6320000</v>
      </c>
      <c r="F81" s="317">
        <f>SUM(F68:F80)</f>
        <v>6168315.1114267418</v>
      </c>
      <c r="G81" s="317">
        <f>SUM(G68:G80)</f>
        <v>6834468.7838964276</v>
      </c>
    </row>
    <row r="82" spans="2:7" x14ac:dyDescent="0.25">
      <c r="D82" s="316">
        <f>IRR(D68:D80)</f>
        <v>3.5159506081013259E-2</v>
      </c>
    </row>
    <row r="83" spans="2:7" x14ac:dyDescent="0.25">
      <c r="D83" s="21">
        <f>NPV(2.1%,D69:D80)+D68</f>
        <v>666153.67246968579</v>
      </c>
      <c r="G83" s="317">
        <f>G81/F81</f>
        <v>1.107996050856034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VAN-TIR-EXTRAS</vt:lpstr>
      <vt:lpstr>amortizacion de creditos</vt:lpstr>
      <vt:lpstr>INTEGRADORA</vt:lpstr>
      <vt:lpstr>EXCEL PROFE</vt:lpstr>
      <vt:lpstr>examen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Camila</cp:lastModifiedBy>
  <cp:lastPrinted>2020-05-25T17:33:05Z</cp:lastPrinted>
  <dcterms:created xsi:type="dcterms:W3CDTF">2020-05-15T14:49:40Z</dcterms:created>
  <dcterms:modified xsi:type="dcterms:W3CDTF">2020-05-27T00:14:17Z</dcterms:modified>
</cp:coreProperties>
</file>