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esktop\4 AÑO IARA\Economia y costos\"/>
    </mc:Choice>
  </mc:AlternateContent>
  <xr:revisionPtr revIDLastSave="0" documentId="13_ncr:1_{8E712BFA-2E28-4476-8EE6-218CB3476E61}" xr6:coauthVersionLast="45" xr6:coauthVersionMax="45" xr10:uidLastSave="{00000000-0000-0000-0000-000000000000}"/>
  <bookViews>
    <workbookView xWindow="-120" yWindow="-120" windowWidth="20730" windowHeight="11160" xr2:uid="{FF079584-037D-4DDF-B952-DAC16BDAB55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242" i="1" l="1"/>
  <c r="Q239" i="1"/>
  <c r="Q240" i="1"/>
  <c r="E243" i="1"/>
  <c r="E242" i="1"/>
  <c r="F238" i="1"/>
  <c r="G238" i="1"/>
  <c r="H238" i="1"/>
  <c r="I238" i="1"/>
  <c r="J238" i="1"/>
  <c r="K238" i="1"/>
  <c r="L238" i="1"/>
  <c r="M238" i="1"/>
  <c r="N238" i="1"/>
  <c r="O238" i="1"/>
  <c r="P238" i="1"/>
  <c r="Q238" i="1"/>
  <c r="E238" i="1"/>
  <c r="G237" i="1"/>
  <c r="F237" i="1"/>
  <c r="H237" i="1"/>
  <c r="I237" i="1"/>
  <c r="J237" i="1"/>
  <c r="K237" i="1"/>
  <c r="L237" i="1"/>
  <c r="L240" i="1" s="1"/>
  <c r="M237" i="1"/>
  <c r="N237" i="1"/>
  <c r="O237" i="1"/>
  <c r="O240" i="1" s="1"/>
  <c r="P237" i="1"/>
  <c r="Q237" i="1"/>
  <c r="E237" i="1"/>
  <c r="E236" i="1"/>
  <c r="D236" i="1"/>
  <c r="D240" i="1" s="1"/>
  <c r="J240" i="1"/>
  <c r="P240" i="1"/>
  <c r="N240" i="1"/>
  <c r="I240" i="1"/>
  <c r="H240" i="1"/>
  <c r="G240" i="1"/>
  <c r="F240" i="1"/>
  <c r="F235" i="1"/>
  <c r="G235" i="1" s="1"/>
  <c r="H235" i="1" s="1"/>
  <c r="I235" i="1" s="1"/>
  <c r="J235" i="1" s="1"/>
  <c r="K235" i="1" s="1"/>
  <c r="L235" i="1" s="1"/>
  <c r="M235" i="1" s="1"/>
  <c r="N235" i="1" s="1"/>
  <c r="O235" i="1" s="1"/>
  <c r="P235" i="1" s="1"/>
  <c r="Q235" i="1" s="1"/>
  <c r="E235" i="1"/>
  <c r="E223" i="1"/>
  <c r="E227" i="1" s="1"/>
  <c r="Q220" i="1"/>
  <c r="Q227" i="1"/>
  <c r="F227" i="1"/>
  <c r="D231" i="1" s="1"/>
  <c r="G227" i="1"/>
  <c r="H227" i="1"/>
  <c r="I227" i="1"/>
  <c r="J227" i="1"/>
  <c r="K227" i="1"/>
  <c r="L227" i="1"/>
  <c r="M227" i="1"/>
  <c r="N227" i="1"/>
  <c r="O227" i="1"/>
  <c r="P227" i="1"/>
  <c r="D227" i="1"/>
  <c r="E220" i="1"/>
  <c r="F220" i="1"/>
  <c r="G220" i="1"/>
  <c r="H220" i="1"/>
  <c r="I220" i="1"/>
  <c r="J220" i="1"/>
  <c r="K220" i="1"/>
  <c r="L220" i="1"/>
  <c r="M220" i="1"/>
  <c r="N220" i="1"/>
  <c r="O220" i="1"/>
  <c r="P220" i="1"/>
  <c r="D220" i="1"/>
  <c r="Q226" i="1"/>
  <c r="P225" i="1"/>
  <c r="G225" i="1"/>
  <c r="H225" i="1"/>
  <c r="I225" i="1"/>
  <c r="J225" i="1"/>
  <c r="K225" i="1"/>
  <c r="L225" i="1"/>
  <c r="M225" i="1"/>
  <c r="N225" i="1"/>
  <c r="O225" i="1"/>
  <c r="Q225" i="1"/>
  <c r="F225" i="1"/>
  <c r="E225" i="1"/>
  <c r="G224" i="1"/>
  <c r="H224" i="1"/>
  <c r="I224" i="1"/>
  <c r="J224" i="1"/>
  <c r="K224" i="1"/>
  <c r="L224" i="1"/>
  <c r="M224" i="1"/>
  <c r="N224" i="1"/>
  <c r="O224" i="1"/>
  <c r="P224" i="1"/>
  <c r="Q224" i="1"/>
  <c r="F224" i="1"/>
  <c r="E224" i="1"/>
  <c r="F222" i="1"/>
  <c r="G222" i="1"/>
  <c r="H222" i="1" s="1"/>
  <c r="I222" i="1" s="1"/>
  <c r="J222" i="1" s="1"/>
  <c r="K222" i="1" s="1"/>
  <c r="L222" i="1" s="1"/>
  <c r="M222" i="1" s="1"/>
  <c r="N222" i="1" s="1"/>
  <c r="O222" i="1" s="1"/>
  <c r="P222" i="1" s="1"/>
  <c r="Q222" i="1" s="1"/>
  <c r="E222" i="1"/>
  <c r="P219" i="1"/>
  <c r="F218" i="1"/>
  <c r="G218" i="1"/>
  <c r="H218" i="1"/>
  <c r="I218" i="1"/>
  <c r="J218" i="1"/>
  <c r="K218" i="1"/>
  <c r="L218" i="1"/>
  <c r="M218" i="1"/>
  <c r="N218" i="1"/>
  <c r="O218" i="1"/>
  <c r="P218" i="1"/>
  <c r="E218" i="1"/>
  <c r="P215" i="1"/>
  <c r="F217" i="1"/>
  <c r="G217" i="1"/>
  <c r="H217" i="1"/>
  <c r="I217" i="1"/>
  <c r="J217" i="1"/>
  <c r="K217" i="1"/>
  <c r="L217" i="1"/>
  <c r="M217" i="1"/>
  <c r="N217" i="1"/>
  <c r="O217" i="1"/>
  <c r="P217" i="1"/>
  <c r="E217" i="1"/>
  <c r="D216" i="1"/>
  <c r="M240" i="1" l="1"/>
  <c r="K240" i="1"/>
  <c r="E240" i="1"/>
  <c r="D229" i="1"/>
  <c r="R227" i="1"/>
  <c r="D212" i="1" l="1"/>
  <c r="E215" i="1"/>
  <c r="F215" i="1" s="1"/>
  <c r="G215" i="1" s="1"/>
  <c r="H215" i="1" s="1"/>
  <c r="I215" i="1" s="1"/>
  <c r="J215" i="1" s="1"/>
  <c r="K215" i="1" s="1"/>
  <c r="L215" i="1" s="1"/>
  <c r="M215" i="1" s="1"/>
  <c r="N215" i="1" s="1"/>
  <c r="O215" i="1" s="1"/>
  <c r="I196" i="1"/>
  <c r="I195" i="1"/>
  <c r="I193" i="1"/>
  <c r="I191" i="1"/>
  <c r="I190" i="1"/>
  <c r="D191" i="1"/>
  <c r="D194" i="1"/>
  <c r="D197" i="1"/>
  <c r="I188" i="1"/>
  <c r="G121" i="1" l="1"/>
  <c r="H110" i="1" l="1"/>
  <c r="H112" i="1" s="1"/>
  <c r="H97" i="1"/>
  <c r="H99" i="1" s="1"/>
  <c r="G90" i="1"/>
  <c r="G49" i="1"/>
  <c r="G44" i="1"/>
  <c r="G39" i="1"/>
  <c r="H27" i="1"/>
  <c r="H29" i="1" s="1"/>
  <c r="H14" i="1"/>
  <c r="H16" i="1" s="1"/>
  <c r="J4" i="1" l="1"/>
  <c r="J5" i="1" s="1"/>
</calcChain>
</file>

<file path=xl/sharedStrings.xml><?xml version="1.0" encoding="utf-8"?>
<sst xmlns="http://schemas.openxmlformats.org/spreadsheetml/2006/main" count="219" uniqueCount="88">
  <si>
    <t>Si partiendo de una tasa de interés compuesta del 22% para 140 días quiero hallar la tasa mensual equivalente (30 días)</t>
  </si>
  <si>
    <t>Tasa de interes compuesta</t>
  </si>
  <si>
    <t>n</t>
  </si>
  <si>
    <t>Tasa mensual equivalente</t>
  </si>
  <si>
    <t>??</t>
  </si>
  <si>
    <t>Un inversor decide constituir un depósito a plazo fijo de $25000 por 90 días. El banco donde realiza la operación le ofreció una tasa anual compuesta de 20%. Transcurridos los 90 días, renueva el plazo fijo por 120 días a una tasa del 1,8% mensual (Para la resolución aplique año comercial y los resultados finales alternativos se expresan sin decimales para facilitar su selección).</t>
  </si>
  <si>
    <t>Tasa anual compuesta</t>
  </si>
  <si>
    <t>C0</t>
  </si>
  <si>
    <t>Plazo de la operación</t>
  </si>
  <si>
    <t>dias</t>
  </si>
  <si>
    <t>Tasa mensual</t>
  </si>
  <si>
    <t>Año comercial</t>
  </si>
  <si>
    <t>Cf1</t>
  </si>
  <si>
    <t>Cf2</t>
  </si>
  <si>
    <t>Un inversor decide constituir un depósito a plazo fijo de $30.000 por 120 días. El banco donde realiza la operación le ofreció una tasa anual compuesta de 20%. Transcurridos los 120 días, renueva el plazo fijo por 90 días a una tasa del 1,8% mensual (Para la resolución aplique año comercial y los resultados finales alternativos se expresan sin decimales para facilitar su selección).</t>
  </si>
  <si>
    <t>Si la tasa de interés compuesto para una operación financiera de plazo igual a 6 meses, es de 3% mensual, la tasa equivalente anual será de un 43%</t>
  </si>
  <si>
    <t>Si la tasa de interés compuesto para una operación financiera de plazo igual a 6 meses es de 3% mensual, la tasa equivalente anual será de un 18%.</t>
  </si>
  <si>
    <t>Plazo</t>
  </si>
  <si>
    <t>Tasa equivalente anual</t>
  </si>
  <si>
    <t>Si la tasa de interés compuesto para una operación financiera de plazo igual a 8 meses, es del 2% mensual, la tasa equivalente anual será de un 16%.</t>
  </si>
  <si>
    <t>Para una operación financiera, en las cuales, partiendo de un determinado capital inicial, para el primer sub-período de 12 meses se pactó una tasa de interés simple anual de 24% y para el segundo sub-período de 12 meses una tasa de interés simple de un 25% anual, el monto final será diferente si el orden de las operaciones se invirtiera:</t>
  </si>
  <si>
    <t>Tasa anual</t>
  </si>
  <si>
    <t>Hecho en el cuaderno</t>
  </si>
  <si>
    <t>Para una operación financiera, en las cuales, partiendo de un determinado capital inicial, para el primer sub – periodo de 3 meses se pactó una tasa de interés simple anual de 18% y para el segundo sub-periodo de 5 meses una tasa simple de un 19% anual, el monto final sea diferente si el orden de las operaciones se invierte:</t>
  </si>
  <si>
    <t>Para una operación financiera, en las cuales, partiendo de un determinado capital inicial, para el primer sub – periodo de 5 meses se pactó una tasa de interés simple anual de 19% y para el segundo sub-periodo de 7 meses una tasa simple de un 22% anual, el monto final sea diferente si el orden de las operaciones se invierte:</t>
  </si>
  <si>
    <t>Para una operación financiera, en las cuales, partiendo de un determinado capital inicial, para el primer sub-período de 18 meses se pactó una tasa de interés compuesto anual de 22% y para el segundo de 6 meses una tasa de interés compuesto anual de 25%, el monto final será diferente si el orden de las operaciones se invirtiera.</t>
  </si>
  <si>
    <t>Si partimos de una tasa de interés compuesta del 12% para 240 días y quiero hallar la tasa anual equivalente (365 días), la misma será de:</t>
  </si>
  <si>
    <t>Tasa compuesta</t>
  </si>
  <si>
    <t>tasa anual equivalente</t>
  </si>
  <si>
    <t>Un inversor decide constituir un depósito a plazo fijo de $100000 por 120 días. El banco donde realiza la operación le ofreció una tasa anual compuesta de 20%. Transcurridos los 120 días, renueva el plazo fijo por 180 días a una tasa del 1,8% mensual (Para la resolución aplique año comercial y los resultados finales alternativos se expresan sin decimales para facilitar su selección).</t>
  </si>
  <si>
    <t>Un inversor decide constituir un depósito a plazo fijo de $50.000 por 90 días. El banco donde realiza la operación le ofreció una tasa anual compuesta de 24%. Transcurridos los 90 días, renueva el plazo fijo por 120 días a una tasa del 2,1% mensual (Para la resolución aplique año comercial y los resultados finales alternativos se expresan sin decimales para facilitar su selección).</t>
  </si>
  <si>
    <t>Si la tasa de interés compuesto para una operación financiera de plazo igual a 1 año, es del 2% mensual, la tasa equivalente anual será de un 24%.</t>
  </si>
  <si>
    <t>mensual</t>
  </si>
  <si>
    <t>Para una operación financiera, en las cuales, partiendo de un determinado capital inicial, para el primer sub-período de 6 meses se pactó una tasa de interés simple anual de 12% y para el segundo sub-período de 6 meses una tasa simple de un 15% anual, el monto final será diferente si el orden de las operaciones se invirtiera:</t>
  </si>
  <si>
    <t xml:space="preserve">Lucas y Jonás, cada uno por su cuenta, analizan un mismo proyecto. Además, se conocer que el VAN Lucas = -$5600, VAN Jonás = $0 y el COK Jonás = 30% anual. Señale la/las opciones correctas de su análisis. </t>
  </si>
  <si>
    <t>Lucas</t>
  </si>
  <si>
    <t>Jonas</t>
  </si>
  <si>
    <t>VAN</t>
  </si>
  <si>
    <t>COK Jonas =30% anual</t>
  </si>
  <si>
    <t>Info extra</t>
  </si>
  <si>
    <t>Situacion 2</t>
  </si>
  <si>
    <t xml:space="preserve">VAN = 0 -&gt; Indiferencia. Indiferenia -&gt; TIR = COK = 30% . </t>
  </si>
  <si>
    <t xml:space="preserve">TIR </t>
  </si>
  <si>
    <t>TIR del proyecto 30%</t>
  </si>
  <si>
    <t xml:space="preserve">VAN &lt; 0 lucas rechaza. Para que rechace, TIR &lt; COK, el COK de lucas es mayor al 30%. </t>
  </si>
  <si>
    <t xml:space="preserve">Lucas y Jonás, cada uno por su cuenta, analizan un mismo proyecto. Además, se conocer que el VAN Lucas = $2100, VAN Jonás = $2100 y el COK Lucas = 35% anual. Señale la/las opciones correctas de su análisis. </t>
  </si>
  <si>
    <t>COK LUCAS =35% anual</t>
  </si>
  <si>
    <t>TIR del proyecto 35%</t>
  </si>
  <si>
    <t xml:space="preserve">VAN &gt; 0 Lucas acepta. Para que acepte, TIR &gt; COK, la tir es mayor al 35%. </t>
  </si>
  <si>
    <t>VAN &gt; 0 Jonas acepta. Para que acepte, TIR &gt; COK, el COK de jonas es 35%</t>
  </si>
  <si>
    <t>Lucas y Jonás, cada uno por su cuenta, analizan un mismo proyecto. Además se conoce que VAN (Lucas)= $3.500, VAN (Jonás) = $-1.400 y la TIR del proyecto es del 25% anual. Señale la/las opciones correctas, de su análisis:</t>
  </si>
  <si>
    <t>TIR proyecto 25% anual</t>
  </si>
  <si>
    <t>TIR del proyecto 25%</t>
  </si>
  <si>
    <t>VAN &gt; 0 Lucas acepta. Para que acepte, TIR &gt; COK, el COK de Lucas es menor al 25%</t>
  </si>
  <si>
    <t>VAN &lt; 0 Jonas rechaza. Para que rechace, TIR &lt; COK, el COK de Jonas es mayor al 25%</t>
  </si>
  <si>
    <t>Lucas y Jonás, cada uno por su cuenta, analizan un mismo proyecto. Además se conoce que VAN (Lucas)= -$1700, VAN (Jonás) = -$200 y el COK de Jonas es del 33% anual. Señale la/las opciones correctas, de su análisis:</t>
  </si>
  <si>
    <t>COK Jonas 33% anual</t>
  </si>
  <si>
    <t xml:space="preserve">VAN &lt; 0 Jonas rechaza. Para que rechace, TIR &lt; COK, la TIR es menor al 33% </t>
  </si>
  <si>
    <t xml:space="preserve">TIR del proyecto es menor al 33% </t>
  </si>
  <si>
    <t>VAN &lt; 0 Lucas rechaza. Para que rechace, TIR &lt; COK, el COK de Lucas es 33%</t>
  </si>
  <si>
    <t>Opción 2: Aplicar el capital disponible ($5.000.000) a adquirir 5 camiones 0km y transportar los residuos domiciliarios desde estas localidades hasta un centro de recepción de residuos situado en la capital provincial (servicio que hoy brinda una empresa privada). Para los 12 meses que se planea realizar esta actividad, se estima que el ahorro de costos por los pagos a la empresa prestadora del servicio de transporte en la actualidad serán de $350.000 mensurales, los costos referidos a sueldo de choferes, cargas sociales y gastos de movilidad se calcula serán de $110.000 mensuales y se estima recuperar un 80% del valor de compra de los rodados cuando se vendan al finalizar el período 12 de operación. Concluidos los 12 meses de esta operación, el capital obtenido se destinará para financiar parcialmente el desarrollo de la obra planteada:</t>
  </si>
  <si>
    <t>Tasa semestral</t>
  </si>
  <si>
    <t>Fondo comun</t>
  </si>
  <si>
    <t>Costo total de la obra</t>
  </si>
  <si>
    <t>Opcion 1)</t>
  </si>
  <si>
    <t>Opción 1: Realizar una serie de plazos fijos según las siguientes condiciones por 100 días al 2,73% mensual de interés compuesto, luego por otros 100 días a una tasa del 22,1% anual y finalmente por 160 días mas a una tasa de 12,5% semestral (usar año comercial y exponga los valores redondeados con 2 decimales)</t>
  </si>
  <si>
    <t xml:space="preserve">El caso se refiere a un grupo de pequeñas localidades del interior de la provincia que se encuentra analizando la construcción de una planta de tratamiento de residuos domiciliarios urbanos. El equipo técnico ambiental contratado presupuestó un costo total de la obra de $20.000.000, pero teniendo en cuenta que nos encontramos atravesando una emergencia sanitaria fruto al Covid 19, todas las fuentes de financiamiento que históricamente asistían este tipo de inversiones se encuentran suspendidas por 12 meses.
Aunando esfuerzos con el objetivo antes mencionado, se ha constituido un fondo común entre las localidades con dicho destino y se busca analizar las mejores formas de preservar el poder adquisitivo de los ahorros conseguidos, hasta poder avanzar con la ejecución de la obra y se le presentan las siguientes alternativas para los $5.000.000 que poseen liquidos y pretenden resguardar:
</t>
  </si>
  <si>
    <t>Cf</t>
  </si>
  <si>
    <t>Tasa efectiva p/ 360 dias</t>
  </si>
  <si>
    <t>Opcion 2)</t>
  </si>
  <si>
    <t>Camiones</t>
  </si>
  <si>
    <t>Ahorro de costos por los pagos a la empresa prestadora del servicio de transporte en la actualidad serán de $350.000 mensurales</t>
  </si>
  <si>
    <t>Costos adicionales</t>
  </si>
  <si>
    <t>mensuales</t>
  </si>
  <si>
    <t xml:space="preserve">Recuperar </t>
  </si>
  <si>
    <t>Egresos</t>
  </si>
  <si>
    <t>Inversion</t>
  </si>
  <si>
    <t>Ingresos</t>
  </si>
  <si>
    <t>Recupero</t>
  </si>
  <si>
    <t>Ahorro</t>
  </si>
  <si>
    <t>FF</t>
  </si>
  <si>
    <t>Discretizado</t>
  </si>
  <si>
    <t>TIR</t>
  </si>
  <si>
    <t>Actualizado</t>
  </si>
  <si>
    <t>VAE</t>
  </si>
  <si>
    <t>VAI</t>
  </si>
  <si>
    <t>RBC</t>
  </si>
  <si>
    <t>COK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</si>
</sst>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44" formatCode="_-&quot;$&quot;\ * #,##0.00_-;\-&quot;$&quot;\ * #,##0.00_-;_-&quot;$&quot;\ * &quot;-&quot;??_-;_-@_-"/>
    <numFmt numFmtId="168" formatCode="0.0%"/>
    <numFmt numFmtId="184" formatCode="_-&quot;$&quot;\ * #,##0_-;\-&quot;$&quot;\ * #,##0_-;_-&quot;$&quot;\ * &quot;-&quot;??_-;_-@_-"/>
    <numFmt numFmtId="185" formatCode="&quot;$&quot;\ #,##0.00"/>
  </numFmts>
  <fonts count="4" x14ac:knownFonts="1">
    <font>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0" fontId="0" fillId="0" borderId="0" xfId="0"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0" fillId="0" borderId="1" xfId="0" applyBorder="1" applyAlignment="1">
      <alignment horizontal="center"/>
    </xf>
    <xf numFmtId="0" fontId="0" fillId="0" borderId="0" xfId="0" applyAlignment="1">
      <alignment wrapText="1"/>
    </xf>
    <xf numFmtId="0" fontId="2" fillId="3" borderId="1" xfId="0" applyFont="1" applyFill="1" applyBorder="1" applyAlignment="1">
      <alignment horizontal="center"/>
    </xf>
    <xf numFmtId="10" fontId="2" fillId="3" borderId="1" xfId="2" applyNumberFormat="1" applyFont="1" applyFill="1" applyBorder="1" applyAlignment="1">
      <alignment horizontal="center"/>
    </xf>
    <xf numFmtId="0" fontId="0" fillId="0" borderId="0" xfId="0" applyAlignment="1">
      <alignment horizontal="left" wrapText="1"/>
    </xf>
    <xf numFmtId="0" fontId="2" fillId="2" borderId="0" xfId="0" applyFont="1" applyFill="1" applyAlignment="1">
      <alignment horizontal="left"/>
    </xf>
    <xf numFmtId="0" fontId="2" fillId="2" borderId="0" xfId="0" applyFont="1" applyFill="1" applyAlignment="1">
      <alignment horizontal="left" wrapText="1"/>
    </xf>
    <xf numFmtId="0" fontId="2" fillId="4" borderId="1" xfId="0" applyFont="1" applyFill="1" applyBorder="1" applyAlignment="1">
      <alignment horizontal="center"/>
    </xf>
    <xf numFmtId="1" fontId="2" fillId="4" borderId="1" xfId="0" applyNumberFormat="1" applyFont="1" applyFill="1" applyBorder="1" applyAlignment="1">
      <alignment horizontal="center"/>
    </xf>
    <xf numFmtId="168" fontId="0" fillId="0" borderId="1" xfId="0" applyNumberFormat="1" applyBorder="1" applyAlignment="1">
      <alignment horizontal="center"/>
    </xf>
    <xf numFmtId="0" fontId="0" fillId="0" borderId="0" xfId="0" applyAlignment="1"/>
    <xf numFmtId="0" fontId="2" fillId="5" borderId="0" xfId="0" applyFont="1" applyFill="1" applyAlignment="1">
      <alignment horizontal="left" wrapText="1"/>
    </xf>
    <xf numFmtId="0" fontId="0" fillId="0" borderId="0" xfId="0" applyAlignment="1">
      <alignment vertical="center" wrapText="1"/>
    </xf>
    <xf numFmtId="0" fontId="2" fillId="5" borderId="0" xfId="0" applyFont="1" applyFill="1" applyAlignment="1">
      <alignment horizontal="left" vertical="center" wrapText="1"/>
    </xf>
    <xf numFmtId="0" fontId="2" fillId="5" borderId="0" xfId="0" applyFont="1" applyFill="1" applyAlignment="1">
      <alignment horizontal="left"/>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2" fillId="6" borderId="1" xfId="0" applyFont="1" applyFill="1" applyBorder="1" applyAlignment="1">
      <alignment horizontal="center" vertical="center" wrapText="1"/>
    </xf>
    <xf numFmtId="9" fontId="2" fillId="6" borderId="1" xfId="2" applyNumberFormat="1" applyFont="1" applyFill="1" applyBorder="1" applyAlignment="1">
      <alignment horizontal="center" vertical="center" wrapText="1"/>
    </xf>
    <xf numFmtId="0" fontId="2" fillId="5" borderId="1" xfId="0" applyFont="1" applyFill="1" applyBorder="1" applyAlignment="1">
      <alignment horizontal="left"/>
    </xf>
    <xf numFmtId="10" fontId="2" fillId="6" borderId="1" xfId="2" applyNumberFormat="1" applyFont="1" applyFill="1" applyBorder="1" applyAlignment="1">
      <alignment horizontal="center" vertical="center" wrapText="1"/>
    </xf>
    <xf numFmtId="0" fontId="2" fillId="5" borderId="1" xfId="0" applyFont="1" applyFill="1" applyBorder="1" applyAlignment="1">
      <alignment horizontal="left" wrapText="1"/>
    </xf>
    <xf numFmtId="0" fontId="2" fillId="0" borderId="1" xfId="0" applyFont="1" applyBorder="1" applyAlignment="1">
      <alignment horizontal="center"/>
    </xf>
    <xf numFmtId="10" fontId="2" fillId="0" borderId="1" xfId="2" applyNumberFormat="1" applyFont="1" applyBorder="1" applyAlignment="1">
      <alignment horizontal="center"/>
    </xf>
    <xf numFmtId="0" fontId="2" fillId="6" borderId="1" xfId="0" applyFont="1" applyFill="1" applyBorder="1" applyAlignment="1">
      <alignment horizontal="center"/>
    </xf>
    <xf numFmtId="10" fontId="2" fillId="6" borderId="1" xfId="2" applyNumberFormat="1" applyFont="1" applyFill="1" applyBorder="1" applyAlignment="1">
      <alignment horizontal="center"/>
    </xf>
    <xf numFmtId="0" fontId="2" fillId="7" borderId="1" xfId="0" applyFont="1" applyFill="1" applyBorder="1" applyAlignment="1">
      <alignment horizontal="center"/>
    </xf>
    <xf numFmtId="0" fontId="0" fillId="7" borderId="1" xfId="0" applyFill="1" applyBorder="1" applyAlignment="1">
      <alignment horizontal="left"/>
    </xf>
    <xf numFmtId="0" fontId="2" fillId="0" borderId="0" xfId="0" applyFont="1" applyAlignment="1">
      <alignment horizontal="center"/>
    </xf>
    <xf numFmtId="0" fontId="0" fillId="7" borderId="2" xfId="0" applyFill="1" applyBorder="1" applyAlignment="1">
      <alignment horizontal="left"/>
    </xf>
    <xf numFmtId="0" fontId="0" fillId="7" borderId="3" xfId="0" applyFill="1" applyBorder="1" applyAlignment="1">
      <alignment horizontal="left"/>
    </xf>
    <xf numFmtId="0" fontId="0" fillId="7" borderId="4" xfId="0" applyFill="1" applyBorder="1" applyAlignment="1">
      <alignment horizontal="left"/>
    </xf>
    <xf numFmtId="0" fontId="2" fillId="5" borderId="1" xfId="0" applyFont="1" applyFill="1" applyBorder="1" applyAlignment="1">
      <alignment horizontal="left" vertical="top" wrapText="1"/>
    </xf>
    <xf numFmtId="44" fontId="0" fillId="0" borderId="0" xfId="1" applyFont="1" applyBorder="1" applyAlignment="1">
      <alignment horizontal="left"/>
    </xf>
    <xf numFmtId="2" fontId="0" fillId="0" borderId="0" xfId="1" applyNumberFormat="1" applyFont="1" applyBorder="1" applyAlignment="1">
      <alignment horizontal="center"/>
    </xf>
    <xf numFmtId="1" fontId="0" fillId="0" borderId="0" xfId="1" applyNumberFormat="1" applyFont="1" applyBorder="1" applyAlignment="1">
      <alignment horizontal="center"/>
    </xf>
    <xf numFmtId="1" fontId="0" fillId="0" borderId="1" xfId="1" applyNumberFormat="1" applyFont="1" applyBorder="1" applyAlignment="1">
      <alignment horizontal="center"/>
    </xf>
    <xf numFmtId="44" fontId="0" fillId="0" borderId="0" xfId="1" applyFont="1" applyBorder="1" applyAlignment="1">
      <alignment horizontal="center"/>
    </xf>
    <xf numFmtId="168" fontId="0" fillId="0" borderId="1" xfId="2" applyNumberFormat="1" applyFont="1" applyBorder="1" applyAlignment="1">
      <alignment horizontal="center"/>
    </xf>
    <xf numFmtId="44" fontId="0" fillId="0" borderId="1" xfId="1" applyFont="1" applyBorder="1" applyAlignment="1">
      <alignment horizontal="center"/>
    </xf>
    <xf numFmtId="0" fontId="2" fillId="8" borderId="0" xfId="0" applyFont="1" applyFill="1" applyAlignment="1">
      <alignment horizontal="right"/>
    </xf>
    <xf numFmtId="44" fontId="0" fillId="0" borderId="0" xfId="0" applyNumberFormat="1"/>
    <xf numFmtId="0" fontId="0" fillId="0" borderId="3" xfId="0" applyBorder="1" applyAlignment="1">
      <alignment horizontal="center"/>
    </xf>
    <xf numFmtId="2" fontId="0" fillId="0" borderId="1" xfId="2" applyNumberFormat="1" applyFont="1" applyBorder="1" applyAlignment="1">
      <alignment horizontal="center"/>
    </xf>
    <xf numFmtId="2" fontId="0" fillId="0" borderId="1" xfId="1" applyNumberFormat="1" applyFont="1" applyBorder="1" applyAlignment="1">
      <alignment horizontal="center"/>
    </xf>
    <xf numFmtId="2" fontId="0" fillId="0" borderId="0" xfId="0" applyNumberFormat="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0" fontId="2" fillId="0" borderId="1" xfId="0" applyFont="1" applyBorder="1" applyAlignment="1">
      <alignment horizontal="center"/>
    </xf>
    <xf numFmtId="44" fontId="2" fillId="0" borderId="1" xfId="1" applyFont="1" applyBorder="1" applyAlignment="1">
      <alignment horizontal="center"/>
    </xf>
    <xf numFmtId="2" fontId="0" fillId="0" borderId="0" xfId="2" applyNumberFormat="1" applyFont="1"/>
    <xf numFmtId="10" fontId="2" fillId="0" borderId="1" xfId="2" applyNumberFormat="1" applyFont="1" applyBorder="1"/>
    <xf numFmtId="6" fontId="0" fillId="0" borderId="0" xfId="0" applyNumberFormat="1" applyAlignment="1">
      <alignment horizontal="center"/>
    </xf>
    <xf numFmtId="184" fontId="0" fillId="0" borderId="0" xfId="1" applyNumberFormat="1" applyFont="1"/>
    <xf numFmtId="44" fontId="0" fillId="0" borderId="1" xfId="0" applyNumberFormat="1" applyBorder="1" applyAlignment="1">
      <alignment horizontal="center"/>
    </xf>
    <xf numFmtId="185" fontId="0" fillId="0" borderId="0" xfId="0" applyNumberFormat="1"/>
    <xf numFmtId="0" fontId="0" fillId="0" borderId="1" xfId="0" applyBorder="1" applyAlignment="1">
      <alignment horizontal="center" vertical="center"/>
    </xf>
    <xf numFmtId="185" fontId="0" fillId="0" borderId="1" xfId="0" applyNumberFormat="1" applyBorder="1" applyAlignment="1">
      <alignment horizontal="center"/>
    </xf>
    <xf numFmtId="184" fontId="0" fillId="0" borderId="1" xfId="0" applyNumberFormat="1" applyBorder="1" applyAlignment="1">
      <alignment horizontal="center"/>
    </xf>
    <xf numFmtId="6" fontId="0" fillId="0" borderId="1" xfId="0" applyNumberFormat="1" applyBorder="1" applyAlignment="1">
      <alignment horizontal="center"/>
    </xf>
    <xf numFmtId="44" fontId="0" fillId="0" borderId="1" xfId="0" applyNumberFormat="1" applyBorder="1" applyAlignment="1">
      <alignment horizontal="center"/>
    </xf>
    <xf numFmtId="185" fontId="0" fillId="0" borderId="1" xfId="0" applyNumberFormat="1" applyBorder="1"/>
    <xf numFmtId="0" fontId="2" fillId="0" borderId="2" xfId="0" applyFont="1" applyBorder="1" applyAlignment="1">
      <alignment horizontal="center"/>
    </xf>
    <xf numFmtId="0" fontId="2" fillId="0" borderId="4" xfId="0" applyFont="1" applyBorder="1" applyAlignment="1">
      <alignment horizontal="center"/>
    </xf>
    <xf numFmtId="0" fontId="2" fillId="8" borderId="1" xfId="0" applyFont="1" applyFill="1" applyBorder="1" applyAlignment="1">
      <alignment horizontal="center"/>
    </xf>
    <xf numFmtId="10" fontId="2" fillId="8" borderId="1" xfId="2" applyNumberFormat="1" applyFont="1" applyFill="1" applyBorder="1" applyAlignment="1">
      <alignment horizontal="center"/>
    </xf>
    <xf numFmtId="44" fontId="2" fillId="8" borderId="1" xfId="1" applyFont="1" applyFill="1" applyBorder="1" applyAlignment="1">
      <alignment horizontal="center"/>
    </xf>
    <xf numFmtId="0" fontId="2" fillId="0" borderId="0" xfId="0" applyFont="1" applyFill="1" applyBorder="1" applyAlignment="1">
      <alignment horizontal="center"/>
    </xf>
    <xf numFmtId="44" fontId="2" fillId="0" borderId="0" xfId="1" applyFont="1" applyFill="1" applyBorder="1" applyAlignment="1">
      <alignment horizontal="center"/>
    </xf>
    <xf numFmtId="0" fontId="2" fillId="6" borderId="1" xfId="0" applyFont="1" applyFill="1" applyBorder="1" applyAlignment="1">
      <alignment horizontal="center"/>
    </xf>
    <xf numFmtId="2" fontId="2" fillId="6" borderId="1" xfId="0" applyNumberFormat="1" applyFont="1" applyFill="1" applyBorder="1" applyAlignment="1">
      <alignment horizontal="center"/>
    </xf>
    <xf numFmtId="0" fontId="3" fillId="0" borderId="1" xfId="0" applyFont="1" applyBorder="1" applyAlignment="1">
      <alignment horizontal="center"/>
    </xf>
    <xf numFmtId="10" fontId="3" fillId="6" borderId="1" xfId="0" applyNumberFormat="1" applyFont="1" applyFill="1" applyBorder="1" applyAlignment="1">
      <alignment horizontal="center"/>
    </xf>
    <xf numFmtId="0" fontId="3" fillId="9" borderId="1" xfId="0" applyFont="1" applyFill="1" applyBorder="1" applyAlignment="1">
      <alignment horizontal="center"/>
    </xf>
    <xf numFmtId="10" fontId="3" fillId="9" borderId="1" xfId="0" applyNumberFormat="1" applyFont="1" applyFill="1" applyBorder="1" applyAlignment="1">
      <alignment horizontal="center"/>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C245-DF2E-48F3-B4AC-23F96D216236}">
  <dimension ref="A2:R246"/>
  <sheetViews>
    <sheetView tabSelected="1" topLeftCell="A234" zoomScaleNormal="100" workbookViewId="0">
      <selection activeCell="F247" sqref="F247"/>
    </sheetView>
  </sheetViews>
  <sheetFormatPr baseColWidth="10" defaultRowHeight="15" x14ac:dyDescent="0.25"/>
  <cols>
    <col min="2" max="2" width="15.140625" customWidth="1"/>
    <col min="4" max="5" width="13.85546875" bestFit="1" customWidth="1"/>
    <col min="6" max="7" width="12.28515625" bestFit="1" customWidth="1"/>
    <col min="8" max="8" width="13.140625" customWidth="1"/>
    <col min="9" max="9" width="14.5703125" customWidth="1"/>
    <col min="10" max="10" width="11.85546875" customWidth="1"/>
    <col min="16" max="16" width="14.5703125" bestFit="1" customWidth="1"/>
    <col min="17" max="17" width="13.140625" bestFit="1" customWidth="1"/>
    <col min="18" max="18" width="14.140625" bestFit="1" customWidth="1"/>
  </cols>
  <sheetData>
    <row r="2" spans="2:13" x14ac:dyDescent="0.25">
      <c r="B2" s="9" t="s">
        <v>0</v>
      </c>
      <c r="C2" s="9"/>
      <c r="D2" s="9"/>
      <c r="E2" s="9"/>
      <c r="F2" s="9"/>
      <c r="G2" s="9"/>
      <c r="H2" s="9"/>
      <c r="I2" s="9"/>
      <c r="J2" s="9"/>
      <c r="K2" s="9"/>
    </row>
    <row r="4" spans="2:13" ht="15" customHeight="1" x14ac:dyDescent="0.25">
      <c r="B4" s="2" t="s">
        <v>1</v>
      </c>
      <c r="C4" s="2"/>
      <c r="D4" s="2"/>
      <c r="E4" s="3">
        <v>0.22</v>
      </c>
      <c r="G4" s="5"/>
      <c r="J4">
        <f>(1+E4)^(E7/E5)</f>
        <v>1.0435317758595968</v>
      </c>
    </row>
    <row r="5" spans="2:13" x14ac:dyDescent="0.25">
      <c r="B5" s="2" t="s">
        <v>2</v>
      </c>
      <c r="C5" s="2"/>
      <c r="D5" s="2"/>
      <c r="E5" s="4">
        <v>140</v>
      </c>
      <c r="G5" s="6" t="s">
        <v>3</v>
      </c>
      <c r="H5" s="6"/>
      <c r="I5" s="6"/>
      <c r="J5" s="7">
        <f>J4-1</f>
        <v>4.3531775859596777E-2</v>
      </c>
    </row>
    <row r="6" spans="2:13" x14ac:dyDescent="0.25">
      <c r="B6" s="2" t="s">
        <v>3</v>
      </c>
      <c r="C6" s="2"/>
      <c r="D6" s="2"/>
      <c r="E6" s="4" t="s">
        <v>4</v>
      </c>
    </row>
    <row r="7" spans="2:13" x14ac:dyDescent="0.25">
      <c r="B7" s="2" t="s">
        <v>2</v>
      </c>
      <c r="C7" s="2"/>
      <c r="D7" s="2"/>
      <c r="E7" s="4">
        <v>30</v>
      </c>
    </row>
    <row r="10" spans="2:13" x14ac:dyDescent="0.25">
      <c r="B10" s="10" t="s">
        <v>5</v>
      </c>
      <c r="C10" s="10"/>
      <c r="D10" s="10"/>
      <c r="E10" s="10"/>
      <c r="F10" s="10"/>
      <c r="G10" s="10"/>
      <c r="H10" s="10"/>
      <c r="I10" s="10"/>
      <c r="J10" s="10"/>
      <c r="K10" s="10"/>
      <c r="L10" s="10"/>
      <c r="M10" s="10"/>
    </row>
    <row r="11" spans="2:13" x14ac:dyDescent="0.25">
      <c r="B11" s="10"/>
      <c r="C11" s="10"/>
      <c r="D11" s="10"/>
      <c r="E11" s="10"/>
      <c r="F11" s="10"/>
      <c r="G11" s="10"/>
      <c r="H11" s="10"/>
      <c r="I11" s="10"/>
      <c r="J11" s="10"/>
      <c r="K11" s="10"/>
      <c r="L11" s="10"/>
      <c r="M11" s="10"/>
    </row>
    <row r="12" spans="2:13" x14ac:dyDescent="0.25">
      <c r="B12" s="10"/>
      <c r="C12" s="10"/>
      <c r="D12" s="10"/>
      <c r="E12" s="10"/>
      <c r="F12" s="10"/>
      <c r="G12" s="10"/>
      <c r="H12" s="10"/>
      <c r="I12" s="10"/>
      <c r="J12" s="10"/>
      <c r="K12" s="10"/>
      <c r="L12" s="10"/>
      <c r="M12" s="10"/>
    </row>
    <row r="14" spans="2:13" x14ac:dyDescent="0.25">
      <c r="B14" s="2" t="s">
        <v>7</v>
      </c>
      <c r="C14" s="2"/>
      <c r="D14" s="4">
        <v>25000</v>
      </c>
      <c r="G14" s="11" t="s">
        <v>12</v>
      </c>
      <c r="H14" s="12">
        <f>D14*(1+D16)^(D15/D21)</f>
        <v>26165.878484802641</v>
      </c>
    </row>
    <row r="15" spans="2:13" x14ac:dyDescent="0.25">
      <c r="B15" s="2" t="s">
        <v>8</v>
      </c>
      <c r="C15" s="2"/>
      <c r="D15" s="4">
        <v>90</v>
      </c>
      <c r="E15" t="s">
        <v>9</v>
      </c>
    </row>
    <row r="16" spans="2:13" x14ac:dyDescent="0.25">
      <c r="B16" s="2" t="s">
        <v>6</v>
      </c>
      <c r="C16" s="2"/>
      <c r="D16" s="3">
        <v>0.2</v>
      </c>
      <c r="G16" s="11" t="s">
        <v>13</v>
      </c>
      <c r="H16" s="12">
        <f>H14*(1+D19)^(D18/30)</f>
        <v>28101.301347885441</v>
      </c>
    </row>
    <row r="18" spans="2:13" x14ac:dyDescent="0.25">
      <c r="B18" s="2" t="s">
        <v>8</v>
      </c>
      <c r="C18" s="2"/>
      <c r="D18" s="4">
        <v>120</v>
      </c>
      <c r="E18" t="s">
        <v>9</v>
      </c>
    </row>
    <row r="19" spans="2:13" x14ac:dyDescent="0.25">
      <c r="B19" s="2" t="s">
        <v>10</v>
      </c>
      <c r="C19" s="2"/>
      <c r="D19" s="13">
        <v>1.7999999999999999E-2</v>
      </c>
    </row>
    <row r="21" spans="2:13" x14ac:dyDescent="0.25">
      <c r="B21" s="2" t="s">
        <v>11</v>
      </c>
      <c r="C21" s="2"/>
      <c r="D21" s="4">
        <v>360</v>
      </c>
    </row>
    <row r="23" spans="2:13" x14ac:dyDescent="0.25">
      <c r="B23" s="15" t="s">
        <v>14</v>
      </c>
      <c r="C23" s="15"/>
      <c r="D23" s="15"/>
      <c r="E23" s="15"/>
      <c r="F23" s="15"/>
      <c r="G23" s="15"/>
      <c r="H23" s="15"/>
      <c r="I23" s="15"/>
      <c r="J23" s="15"/>
      <c r="K23" s="15"/>
      <c r="L23" s="15"/>
      <c r="M23" s="15"/>
    </row>
    <row r="24" spans="2:13" x14ac:dyDescent="0.25">
      <c r="B24" s="15"/>
      <c r="C24" s="15"/>
      <c r="D24" s="15"/>
      <c r="E24" s="15"/>
      <c r="F24" s="15"/>
      <c r="G24" s="15"/>
      <c r="H24" s="15"/>
      <c r="I24" s="15"/>
      <c r="J24" s="15"/>
      <c r="K24" s="15"/>
      <c r="L24" s="15"/>
      <c r="M24" s="15"/>
    </row>
    <row r="25" spans="2:13" x14ac:dyDescent="0.25">
      <c r="B25" s="15"/>
      <c r="C25" s="15"/>
      <c r="D25" s="15"/>
      <c r="E25" s="15"/>
      <c r="F25" s="15"/>
      <c r="G25" s="15"/>
      <c r="H25" s="15"/>
      <c r="I25" s="15"/>
      <c r="J25" s="15"/>
      <c r="K25" s="15"/>
      <c r="L25" s="15"/>
      <c r="M25" s="15"/>
    </row>
    <row r="27" spans="2:13" x14ac:dyDescent="0.25">
      <c r="B27" s="2" t="s">
        <v>7</v>
      </c>
      <c r="C27" s="2"/>
      <c r="D27" s="4">
        <v>30000</v>
      </c>
      <c r="G27" s="11" t="s">
        <v>12</v>
      </c>
      <c r="H27" s="12">
        <f>D27*(1+D29)^(D28/D34)</f>
        <v>31879.757075478334</v>
      </c>
    </row>
    <row r="28" spans="2:13" x14ac:dyDescent="0.25">
      <c r="B28" s="2" t="s">
        <v>8</v>
      </c>
      <c r="C28" s="2"/>
      <c r="D28" s="4">
        <v>120</v>
      </c>
      <c r="E28" t="s">
        <v>9</v>
      </c>
    </row>
    <row r="29" spans="2:13" x14ac:dyDescent="0.25">
      <c r="B29" s="2" t="s">
        <v>6</v>
      </c>
      <c r="C29" s="2"/>
      <c r="D29" s="3">
        <v>0.2</v>
      </c>
      <c r="G29" s="11" t="s">
        <v>13</v>
      </c>
      <c r="H29" s="12">
        <f>H27*(1+D32)^(D31/30)</f>
        <v>33632.437004174797</v>
      </c>
    </row>
    <row r="31" spans="2:13" x14ac:dyDescent="0.25">
      <c r="B31" s="2" t="s">
        <v>8</v>
      </c>
      <c r="C31" s="2"/>
      <c r="D31" s="4">
        <v>90</v>
      </c>
      <c r="E31" t="s">
        <v>9</v>
      </c>
    </row>
    <row r="32" spans="2:13" x14ac:dyDescent="0.25">
      <c r="B32" s="2" t="s">
        <v>10</v>
      </c>
      <c r="C32" s="2"/>
      <c r="D32" s="13">
        <v>1.7999999999999999E-2</v>
      </c>
    </row>
    <row r="34" spans="2:13" x14ac:dyDescent="0.25">
      <c r="B34" s="2" t="s">
        <v>11</v>
      </c>
      <c r="C34" s="2"/>
      <c r="D34" s="4">
        <v>360</v>
      </c>
    </row>
    <row r="36" spans="2:13" x14ac:dyDescent="0.25">
      <c r="B36" s="14"/>
      <c r="C36" s="14"/>
      <c r="D36" s="14"/>
      <c r="E36" s="14"/>
      <c r="F36" s="14"/>
      <c r="G36" s="14"/>
      <c r="H36" s="14"/>
      <c r="I36" s="14"/>
      <c r="J36" s="14"/>
      <c r="K36" s="14"/>
      <c r="L36" s="14"/>
      <c r="M36" s="14"/>
    </row>
    <row r="37" spans="2:13" ht="15" customHeight="1" x14ac:dyDescent="0.25">
      <c r="B37" s="17" t="s">
        <v>15</v>
      </c>
      <c r="C37" s="17"/>
      <c r="D37" s="17"/>
      <c r="E37" s="17"/>
      <c r="F37" s="17"/>
      <c r="G37" s="17"/>
      <c r="H37" s="17"/>
      <c r="I37" s="17"/>
      <c r="J37" s="17"/>
      <c r="K37" s="17"/>
      <c r="L37" s="17"/>
      <c r="M37" s="17"/>
    </row>
    <row r="38" spans="2:13" ht="15" customHeight="1" x14ac:dyDescent="0.25">
      <c r="B38" s="16"/>
      <c r="C38" s="16"/>
      <c r="D38" s="16"/>
      <c r="E38" s="16"/>
      <c r="F38" s="16"/>
      <c r="G38" s="16"/>
      <c r="H38" s="16"/>
      <c r="I38" s="16"/>
      <c r="J38" s="16"/>
      <c r="K38" s="16"/>
      <c r="L38" s="16"/>
      <c r="M38" s="16"/>
    </row>
    <row r="39" spans="2:13" ht="15" customHeight="1" x14ac:dyDescent="0.25">
      <c r="B39" s="19" t="s">
        <v>10</v>
      </c>
      <c r="C39" s="20">
        <v>0.03</v>
      </c>
      <c r="D39" s="16"/>
      <c r="E39" s="21" t="s">
        <v>18</v>
      </c>
      <c r="F39" s="21"/>
      <c r="G39" s="22">
        <f>((1+C39)^(12/1))-1</f>
        <v>0.42576088684617863</v>
      </c>
      <c r="H39" s="16"/>
      <c r="I39" s="16"/>
      <c r="J39" s="16"/>
      <c r="K39" s="16"/>
      <c r="L39" s="16"/>
      <c r="M39" s="16"/>
    </row>
    <row r="40" spans="2:13" x14ac:dyDescent="0.25">
      <c r="B40" s="4" t="s">
        <v>17</v>
      </c>
      <c r="C40" s="4">
        <v>6</v>
      </c>
    </row>
    <row r="42" spans="2:13" x14ac:dyDescent="0.25">
      <c r="B42" s="18" t="s">
        <v>16</v>
      </c>
      <c r="C42" s="18"/>
      <c r="D42" s="18"/>
      <c r="E42" s="18"/>
      <c r="F42" s="18"/>
      <c r="G42" s="18"/>
      <c r="H42" s="18"/>
      <c r="I42" s="18"/>
      <c r="J42" s="18"/>
      <c r="K42" s="18"/>
      <c r="L42" s="18"/>
      <c r="M42" s="18"/>
    </row>
    <row r="44" spans="2:13" ht="15" customHeight="1" x14ac:dyDescent="0.25">
      <c r="B44" s="19" t="s">
        <v>10</v>
      </c>
      <c r="C44" s="20">
        <v>0.03</v>
      </c>
      <c r="D44" s="16"/>
      <c r="E44" s="21" t="s">
        <v>18</v>
      </c>
      <c r="F44" s="21"/>
      <c r="G44" s="22">
        <f>((1+C44)^(12/1))-1</f>
        <v>0.42576088684617863</v>
      </c>
    </row>
    <row r="45" spans="2:13" x14ac:dyDescent="0.25">
      <c r="B45" s="4" t="s">
        <v>17</v>
      </c>
      <c r="C45" s="4">
        <v>6</v>
      </c>
    </row>
    <row r="47" spans="2:13" x14ac:dyDescent="0.25">
      <c r="B47" s="23" t="s">
        <v>19</v>
      </c>
      <c r="C47" s="23"/>
      <c r="D47" s="23"/>
      <c r="E47" s="23"/>
      <c r="F47" s="23"/>
      <c r="G47" s="23"/>
      <c r="H47" s="23"/>
      <c r="I47" s="23"/>
      <c r="J47" s="23"/>
      <c r="K47" s="23"/>
      <c r="L47" s="23"/>
      <c r="M47" s="23"/>
    </row>
    <row r="49" spans="2:13" ht="15" customHeight="1" x14ac:dyDescent="0.25">
      <c r="B49" s="19" t="s">
        <v>10</v>
      </c>
      <c r="C49" s="20">
        <v>0.02</v>
      </c>
      <c r="D49" s="16"/>
      <c r="E49" s="21" t="s">
        <v>18</v>
      </c>
      <c r="F49" s="21"/>
      <c r="G49" s="24">
        <f>((1+C49)^(12/1))-1</f>
        <v>0.26824179456254527</v>
      </c>
    </row>
    <row r="50" spans="2:13" x14ac:dyDescent="0.25">
      <c r="B50" s="4" t="s">
        <v>17</v>
      </c>
      <c r="C50" s="4">
        <v>8</v>
      </c>
    </row>
    <row r="52" spans="2:13" ht="15" customHeight="1" x14ac:dyDescent="0.25">
      <c r="B52" s="25" t="s">
        <v>20</v>
      </c>
      <c r="C52" s="25"/>
      <c r="D52" s="25"/>
      <c r="E52" s="25"/>
      <c r="F52" s="25"/>
      <c r="G52" s="25"/>
      <c r="H52" s="25"/>
      <c r="I52" s="25"/>
      <c r="J52" s="25"/>
      <c r="K52" s="25"/>
      <c r="L52" s="25"/>
      <c r="M52" s="25"/>
    </row>
    <row r="53" spans="2:13" x14ac:dyDescent="0.25">
      <c r="B53" s="25"/>
      <c r="C53" s="25"/>
      <c r="D53" s="25"/>
      <c r="E53" s="25"/>
      <c r="F53" s="25"/>
      <c r="G53" s="25"/>
      <c r="H53" s="25"/>
      <c r="I53" s="25"/>
      <c r="J53" s="25"/>
      <c r="K53" s="25"/>
      <c r="L53" s="25"/>
      <c r="M53" s="25"/>
    </row>
    <row r="54" spans="2:13" x14ac:dyDescent="0.25">
      <c r="B54" s="25"/>
      <c r="C54" s="25"/>
      <c r="D54" s="25"/>
      <c r="E54" s="25"/>
      <c r="F54" s="25"/>
      <c r="G54" s="25"/>
      <c r="H54" s="25"/>
      <c r="I54" s="25"/>
      <c r="J54" s="25"/>
      <c r="K54" s="25"/>
      <c r="L54" s="25"/>
      <c r="M54" s="25"/>
    </row>
    <row r="56" spans="2:13" x14ac:dyDescent="0.25">
      <c r="B56" s="4" t="s">
        <v>21</v>
      </c>
      <c r="C56" s="3">
        <v>0.24</v>
      </c>
      <c r="E56" t="s">
        <v>22</v>
      </c>
    </row>
    <row r="57" spans="2:13" x14ac:dyDescent="0.25">
      <c r="B57" s="4" t="s">
        <v>17</v>
      </c>
      <c r="C57" s="4">
        <v>12</v>
      </c>
    </row>
    <row r="58" spans="2:13" x14ac:dyDescent="0.25">
      <c r="B58" s="4" t="s">
        <v>21</v>
      </c>
      <c r="C58" s="3">
        <v>0.25</v>
      </c>
    </row>
    <row r="59" spans="2:13" x14ac:dyDescent="0.25">
      <c r="B59" s="4" t="s">
        <v>17</v>
      </c>
      <c r="C59" s="4">
        <v>12</v>
      </c>
    </row>
    <row r="61" spans="2:13" x14ac:dyDescent="0.25">
      <c r="B61" s="25" t="s">
        <v>23</v>
      </c>
      <c r="C61" s="25"/>
      <c r="D61" s="25"/>
      <c r="E61" s="25"/>
      <c r="F61" s="25"/>
      <c r="G61" s="25"/>
      <c r="H61" s="25"/>
      <c r="I61" s="25"/>
      <c r="J61" s="25"/>
      <c r="K61" s="25"/>
      <c r="L61" s="25"/>
      <c r="M61" s="25"/>
    </row>
    <row r="62" spans="2:13" x14ac:dyDescent="0.25">
      <c r="B62" s="25"/>
      <c r="C62" s="25"/>
      <c r="D62" s="25"/>
      <c r="E62" s="25"/>
      <c r="F62" s="25"/>
      <c r="G62" s="25"/>
      <c r="H62" s="25"/>
      <c r="I62" s="25"/>
      <c r="J62" s="25"/>
      <c r="K62" s="25"/>
      <c r="L62" s="25"/>
      <c r="M62" s="25"/>
    </row>
    <row r="63" spans="2:13" x14ac:dyDescent="0.25">
      <c r="B63" s="25"/>
      <c r="C63" s="25"/>
      <c r="D63" s="25"/>
      <c r="E63" s="25"/>
      <c r="F63" s="25"/>
      <c r="G63" s="25"/>
      <c r="H63" s="25"/>
      <c r="I63" s="25"/>
      <c r="J63" s="25"/>
      <c r="K63" s="25"/>
      <c r="L63" s="25"/>
      <c r="M63" s="25"/>
    </row>
    <row r="65" spans="2:13" x14ac:dyDescent="0.25">
      <c r="B65" s="4" t="s">
        <v>21</v>
      </c>
      <c r="C65" s="3">
        <v>0.18</v>
      </c>
      <c r="E65" t="s">
        <v>22</v>
      </c>
    </row>
    <row r="66" spans="2:13" x14ac:dyDescent="0.25">
      <c r="B66" s="4" t="s">
        <v>17</v>
      </c>
      <c r="C66" s="4">
        <v>3</v>
      </c>
    </row>
    <row r="67" spans="2:13" x14ac:dyDescent="0.25">
      <c r="B67" s="4" t="s">
        <v>21</v>
      </c>
      <c r="C67" s="3">
        <v>0.19</v>
      </c>
    </row>
    <row r="68" spans="2:13" x14ac:dyDescent="0.25">
      <c r="B68" s="4" t="s">
        <v>17</v>
      </c>
      <c r="C68" s="4">
        <v>5</v>
      </c>
    </row>
    <row r="70" spans="2:13" x14ac:dyDescent="0.25">
      <c r="B70" s="25" t="s">
        <v>24</v>
      </c>
      <c r="C70" s="25"/>
      <c r="D70" s="25"/>
      <c r="E70" s="25"/>
      <c r="F70" s="25"/>
      <c r="G70" s="25"/>
      <c r="H70" s="25"/>
      <c r="I70" s="25"/>
      <c r="J70" s="25"/>
      <c r="K70" s="25"/>
      <c r="L70" s="25"/>
      <c r="M70" s="25"/>
    </row>
    <row r="71" spans="2:13" x14ac:dyDescent="0.25">
      <c r="B71" s="25"/>
      <c r="C71" s="25"/>
      <c r="D71" s="25"/>
      <c r="E71" s="25"/>
      <c r="F71" s="25"/>
      <c r="G71" s="25"/>
      <c r="H71" s="25"/>
      <c r="I71" s="25"/>
      <c r="J71" s="25"/>
      <c r="K71" s="25"/>
      <c r="L71" s="25"/>
      <c r="M71" s="25"/>
    </row>
    <row r="72" spans="2:13" x14ac:dyDescent="0.25">
      <c r="B72" s="25"/>
      <c r="C72" s="25"/>
      <c r="D72" s="25"/>
      <c r="E72" s="25"/>
      <c r="F72" s="25"/>
      <c r="G72" s="25"/>
      <c r="H72" s="25"/>
      <c r="I72" s="25"/>
      <c r="J72" s="25"/>
      <c r="K72" s="25"/>
      <c r="L72" s="25"/>
      <c r="M72" s="25"/>
    </row>
    <row r="74" spans="2:13" x14ac:dyDescent="0.25">
      <c r="B74" s="4" t="s">
        <v>21</v>
      </c>
      <c r="C74" s="3">
        <v>0.19</v>
      </c>
      <c r="E74" t="s">
        <v>22</v>
      </c>
    </row>
    <row r="75" spans="2:13" x14ac:dyDescent="0.25">
      <c r="B75" s="4" t="s">
        <v>17</v>
      </c>
      <c r="C75" s="4">
        <v>5</v>
      </c>
    </row>
    <row r="76" spans="2:13" x14ac:dyDescent="0.25">
      <c r="B76" s="4" t="s">
        <v>21</v>
      </c>
      <c r="C76" s="3">
        <v>0.22</v>
      </c>
    </row>
    <row r="77" spans="2:13" x14ac:dyDescent="0.25">
      <c r="B77" s="4" t="s">
        <v>17</v>
      </c>
      <c r="C77" s="4">
        <v>7</v>
      </c>
    </row>
    <row r="79" spans="2:13" x14ac:dyDescent="0.25">
      <c r="B79" s="25" t="s">
        <v>25</v>
      </c>
      <c r="C79" s="25"/>
      <c r="D79" s="25"/>
      <c r="E79" s="25"/>
      <c r="F79" s="25"/>
      <c r="G79" s="25"/>
      <c r="H79" s="25"/>
      <c r="I79" s="25"/>
      <c r="J79" s="25"/>
      <c r="K79" s="25"/>
      <c r="L79" s="25"/>
      <c r="M79" s="25"/>
    </row>
    <row r="80" spans="2:13" x14ac:dyDescent="0.25">
      <c r="B80" s="25"/>
      <c r="C80" s="25"/>
      <c r="D80" s="25"/>
      <c r="E80" s="25"/>
      <c r="F80" s="25"/>
      <c r="G80" s="25"/>
      <c r="H80" s="25"/>
      <c r="I80" s="25"/>
      <c r="J80" s="25"/>
      <c r="K80" s="25"/>
      <c r="L80" s="25"/>
      <c r="M80" s="25"/>
    </row>
    <row r="81" spans="2:13" x14ac:dyDescent="0.25">
      <c r="B81" s="25"/>
      <c r="C81" s="25"/>
      <c r="D81" s="25"/>
      <c r="E81" s="25"/>
      <c r="F81" s="25"/>
      <c r="G81" s="25"/>
      <c r="H81" s="25"/>
      <c r="I81" s="25"/>
      <c r="J81" s="25"/>
      <c r="K81" s="25"/>
      <c r="L81" s="25"/>
      <c r="M81" s="25"/>
    </row>
    <row r="83" spans="2:13" x14ac:dyDescent="0.25">
      <c r="B83" s="4" t="s">
        <v>21</v>
      </c>
      <c r="C83" s="3">
        <v>0.22</v>
      </c>
      <c r="E83" t="s">
        <v>22</v>
      </c>
    </row>
    <row r="84" spans="2:13" x14ac:dyDescent="0.25">
      <c r="B84" s="4" t="s">
        <v>17</v>
      </c>
      <c r="C84" s="4">
        <v>18</v>
      </c>
    </row>
    <row r="85" spans="2:13" x14ac:dyDescent="0.25">
      <c r="B85" s="4" t="s">
        <v>21</v>
      </c>
      <c r="C85" s="3">
        <v>0.25</v>
      </c>
    </row>
    <row r="86" spans="2:13" x14ac:dyDescent="0.25">
      <c r="B86" s="4" t="s">
        <v>17</v>
      </c>
      <c r="C86" s="4">
        <v>6</v>
      </c>
    </row>
    <row r="88" spans="2:13" x14ac:dyDescent="0.25">
      <c r="B88" s="23" t="s">
        <v>26</v>
      </c>
      <c r="C88" s="23"/>
      <c r="D88" s="23"/>
      <c r="E88" s="23"/>
      <c r="F88" s="23"/>
      <c r="G88" s="23"/>
      <c r="H88" s="23"/>
      <c r="I88" s="23"/>
      <c r="J88" s="23"/>
      <c r="K88" s="23"/>
      <c r="L88" s="23"/>
      <c r="M88" s="23"/>
    </row>
    <row r="90" spans="2:13" x14ac:dyDescent="0.25">
      <c r="B90" s="4" t="s">
        <v>27</v>
      </c>
      <c r="C90" s="3">
        <v>0.12</v>
      </c>
      <c r="E90" s="28" t="s">
        <v>28</v>
      </c>
      <c r="F90" s="28"/>
      <c r="G90" s="29">
        <f>((1+C90)^(365/C91))-1</f>
        <v>0.1880983957757465</v>
      </c>
    </row>
    <row r="91" spans="2:13" x14ac:dyDescent="0.25">
      <c r="B91" s="4" t="s">
        <v>17</v>
      </c>
      <c r="C91" s="4">
        <v>240</v>
      </c>
    </row>
    <row r="93" spans="2:13" x14ac:dyDescent="0.25">
      <c r="B93" s="25" t="s">
        <v>29</v>
      </c>
      <c r="C93" s="25"/>
      <c r="D93" s="25"/>
      <c r="E93" s="25"/>
      <c r="F93" s="25"/>
      <c r="G93" s="25"/>
      <c r="H93" s="25"/>
      <c r="I93" s="25"/>
      <c r="J93" s="25"/>
      <c r="K93" s="25"/>
      <c r="L93" s="25"/>
      <c r="M93" s="25"/>
    </row>
    <row r="94" spans="2:13" x14ac:dyDescent="0.25">
      <c r="B94" s="25"/>
      <c r="C94" s="25"/>
      <c r="D94" s="25"/>
      <c r="E94" s="25"/>
      <c r="F94" s="25"/>
      <c r="G94" s="25"/>
      <c r="H94" s="25"/>
      <c r="I94" s="25"/>
      <c r="J94" s="25"/>
      <c r="K94" s="25"/>
      <c r="L94" s="25"/>
      <c r="M94" s="25"/>
    </row>
    <row r="95" spans="2:13" x14ac:dyDescent="0.25">
      <c r="B95" s="25"/>
      <c r="C95" s="25"/>
      <c r="D95" s="25"/>
      <c r="E95" s="25"/>
      <c r="F95" s="25"/>
      <c r="G95" s="25"/>
      <c r="H95" s="25"/>
      <c r="I95" s="25"/>
      <c r="J95" s="25"/>
      <c r="K95" s="25"/>
      <c r="L95" s="25"/>
      <c r="M95" s="25"/>
    </row>
    <row r="97" spans="2:13" x14ac:dyDescent="0.25">
      <c r="B97" s="2" t="s">
        <v>7</v>
      </c>
      <c r="C97" s="2"/>
      <c r="D97" s="4">
        <v>100000</v>
      </c>
      <c r="G97" s="11" t="s">
        <v>12</v>
      </c>
      <c r="H97" s="12">
        <f>D97*(1+D99)^(D98/D104)</f>
        <v>106265.85691826111</v>
      </c>
    </row>
    <row r="98" spans="2:13" x14ac:dyDescent="0.25">
      <c r="B98" s="2" t="s">
        <v>8</v>
      </c>
      <c r="C98" s="2"/>
      <c r="D98" s="4">
        <v>120</v>
      </c>
      <c r="E98" t="s">
        <v>9</v>
      </c>
    </row>
    <row r="99" spans="2:13" x14ac:dyDescent="0.25">
      <c r="B99" s="2" t="s">
        <v>6</v>
      </c>
      <c r="C99" s="2"/>
      <c r="D99" s="3">
        <v>0.2</v>
      </c>
      <c r="G99" s="11" t="s">
        <v>13</v>
      </c>
      <c r="H99" s="12">
        <f>H97*(1+D102)^(D101/30)</f>
        <v>118271.58491846966</v>
      </c>
    </row>
    <row r="101" spans="2:13" x14ac:dyDescent="0.25">
      <c r="B101" s="2" t="s">
        <v>8</v>
      </c>
      <c r="C101" s="2"/>
      <c r="D101" s="4">
        <v>180</v>
      </c>
      <c r="E101" t="s">
        <v>9</v>
      </c>
    </row>
    <row r="102" spans="2:13" x14ac:dyDescent="0.25">
      <c r="B102" s="2" t="s">
        <v>10</v>
      </c>
      <c r="C102" s="2"/>
      <c r="D102" s="13">
        <v>1.7999999999999999E-2</v>
      </c>
    </row>
    <row r="104" spans="2:13" x14ac:dyDescent="0.25">
      <c r="B104" s="2" t="s">
        <v>11</v>
      </c>
      <c r="C104" s="2"/>
      <c r="D104" s="4">
        <v>360</v>
      </c>
    </row>
    <row r="106" spans="2:13" x14ac:dyDescent="0.25">
      <c r="B106" s="25" t="s">
        <v>30</v>
      </c>
      <c r="C106" s="25"/>
      <c r="D106" s="25"/>
      <c r="E106" s="25"/>
      <c r="F106" s="25"/>
      <c r="G106" s="25"/>
      <c r="H106" s="25"/>
      <c r="I106" s="25"/>
      <c r="J106" s="25"/>
      <c r="K106" s="25"/>
      <c r="L106" s="25"/>
      <c r="M106" s="25"/>
    </row>
    <row r="107" spans="2:13" x14ac:dyDescent="0.25">
      <c r="B107" s="25"/>
      <c r="C107" s="25"/>
      <c r="D107" s="25"/>
      <c r="E107" s="25"/>
      <c r="F107" s="25"/>
      <c r="G107" s="25"/>
      <c r="H107" s="25"/>
      <c r="I107" s="25"/>
      <c r="J107" s="25"/>
      <c r="K107" s="25"/>
      <c r="L107" s="25"/>
      <c r="M107" s="25"/>
    </row>
    <row r="108" spans="2:13" x14ac:dyDescent="0.25">
      <c r="B108" s="25"/>
      <c r="C108" s="25"/>
      <c r="D108" s="25"/>
      <c r="E108" s="25"/>
      <c r="F108" s="25"/>
      <c r="G108" s="25"/>
      <c r="H108" s="25"/>
      <c r="I108" s="25"/>
      <c r="J108" s="25"/>
      <c r="K108" s="25"/>
      <c r="L108" s="25"/>
      <c r="M108" s="25"/>
    </row>
    <row r="110" spans="2:13" x14ac:dyDescent="0.25">
      <c r="B110" s="2" t="s">
        <v>7</v>
      </c>
      <c r="C110" s="2"/>
      <c r="D110" s="4">
        <v>50000</v>
      </c>
      <c r="G110" s="11" t="s">
        <v>12</v>
      </c>
      <c r="H110" s="12">
        <f>D110*(1+D112)^(D111/D117)</f>
        <v>52762.507345794431</v>
      </c>
    </row>
    <row r="111" spans="2:13" x14ac:dyDescent="0.25">
      <c r="B111" s="2" t="s">
        <v>8</v>
      </c>
      <c r="C111" s="2"/>
      <c r="D111" s="4">
        <v>90</v>
      </c>
      <c r="E111" t="s">
        <v>9</v>
      </c>
    </row>
    <row r="112" spans="2:13" x14ac:dyDescent="0.25">
      <c r="B112" s="2" t="s">
        <v>6</v>
      </c>
      <c r="C112" s="2"/>
      <c r="D112" s="3">
        <v>0.24</v>
      </c>
      <c r="G112" s="11" t="s">
        <v>13</v>
      </c>
      <c r="H112" s="12">
        <f>H110*(1+D115)^(D114/30)</f>
        <v>57336.132352905413</v>
      </c>
    </row>
    <row r="114" spans="2:13" x14ac:dyDescent="0.25">
      <c r="B114" s="2" t="s">
        <v>8</v>
      </c>
      <c r="C114" s="2"/>
      <c r="D114" s="4">
        <v>120</v>
      </c>
      <c r="E114" t="s">
        <v>9</v>
      </c>
    </row>
    <row r="115" spans="2:13" x14ac:dyDescent="0.25">
      <c r="B115" s="2" t="s">
        <v>10</v>
      </c>
      <c r="C115" s="2"/>
      <c r="D115" s="13">
        <v>2.1000000000000001E-2</v>
      </c>
    </row>
    <row r="117" spans="2:13" x14ac:dyDescent="0.25">
      <c r="B117" s="2" t="s">
        <v>11</v>
      </c>
      <c r="C117" s="2"/>
      <c r="D117" s="4">
        <v>360</v>
      </c>
    </row>
    <row r="119" spans="2:13" x14ac:dyDescent="0.25">
      <c r="B119" s="23" t="s">
        <v>31</v>
      </c>
      <c r="C119" s="23"/>
      <c r="D119" s="23"/>
      <c r="E119" s="23"/>
      <c r="F119" s="23"/>
      <c r="G119" s="23"/>
      <c r="H119" s="23"/>
      <c r="I119" s="23"/>
      <c r="J119" s="23"/>
      <c r="K119" s="23"/>
      <c r="L119" s="23"/>
      <c r="M119" s="23"/>
    </row>
    <row r="121" spans="2:13" x14ac:dyDescent="0.25">
      <c r="B121" s="4" t="s">
        <v>27</v>
      </c>
      <c r="C121" s="3">
        <v>0.02</v>
      </c>
      <c r="D121" t="s">
        <v>32</v>
      </c>
      <c r="E121" s="28" t="s">
        <v>28</v>
      </c>
      <c r="F121" s="28"/>
      <c r="G121" s="29">
        <f>((1+C121)^(C122/1))-1</f>
        <v>0.26824179456254527</v>
      </c>
    </row>
    <row r="122" spans="2:13" x14ac:dyDescent="0.25">
      <c r="B122" s="4" t="s">
        <v>17</v>
      </c>
      <c r="C122" s="4">
        <v>12</v>
      </c>
    </row>
    <row r="124" spans="2:13" ht="15" customHeight="1" x14ac:dyDescent="0.25">
      <c r="B124" s="25" t="s">
        <v>33</v>
      </c>
      <c r="C124" s="25"/>
      <c r="D124" s="25"/>
      <c r="E124" s="25"/>
      <c r="F124" s="25"/>
      <c r="G124" s="25"/>
      <c r="H124" s="25"/>
      <c r="I124" s="25"/>
      <c r="J124" s="25"/>
      <c r="K124" s="25"/>
      <c r="L124" s="25"/>
      <c r="M124" s="25"/>
    </row>
    <row r="125" spans="2:13" x14ac:dyDescent="0.25">
      <c r="B125" s="25"/>
      <c r="C125" s="25"/>
      <c r="D125" s="25"/>
      <c r="E125" s="25"/>
      <c r="F125" s="25"/>
      <c r="G125" s="25"/>
      <c r="H125" s="25"/>
      <c r="I125" s="25"/>
      <c r="J125" s="25"/>
      <c r="K125" s="25"/>
      <c r="L125" s="25"/>
      <c r="M125" s="25"/>
    </row>
    <row r="126" spans="2:13" x14ac:dyDescent="0.25">
      <c r="B126" s="25"/>
      <c r="C126" s="25"/>
      <c r="D126" s="25"/>
      <c r="E126" s="25"/>
      <c r="F126" s="25"/>
      <c r="G126" s="25"/>
      <c r="H126" s="25"/>
      <c r="I126" s="25"/>
      <c r="J126" s="25"/>
      <c r="K126" s="25"/>
      <c r="L126" s="25"/>
      <c r="M126" s="25"/>
    </row>
    <row r="128" spans="2:13" x14ac:dyDescent="0.25">
      <c r="B128" s="4" t="s">
        <v>21</v>
      </c>
      <c r="C128" s="3">
        <v>0.12</v>
      </c>
      <c r="E128" t="s">
        <v>22</v>
      </c>
    </row>
    <row r="129" spans="2:13" x14ac:dyDescent="0.25">
      <c r="B129" s="4" t="s">
        <v>17</v>
      </c>
      <c r="C129" s="4">
        <v>6</v>
      </c>
    </row>
    <row r="130" spans="2:13" x14ac:dyDescent="0.25">
      <c r="B130" s="4" t="s">
        <v>21</v>
      </c>
      <c r="C130" s="3">
        <v>0.15</v>
      </c>
    </row>
    <row r="131" spans="2:13" x14ac:dyDescent="0.25">
      <c r="B131" s="4" t="s">
        <v>17</v>
      </c>
      <c r="C131" s="4">
        <v>6</v>
      </c>
    </row>
    <row r="133" spans="2:13" x14ac:dyDescent="0.25">
      <c r="B133" s="25" t="s">
        <v>34</v>
      </c>
      <c r="C133" s="25"/>
      <c r="D133" s="25"/>
      <c r="E133" s="25"/>
      <c r="F133" s="25"/>
      <c r="G133" s="25"/>
      <c r="H133" s="25"/>
      <c r="I133" s="25"/>
      <c r="J133" s="25"/>
      <c r="K133" s="25"/>
      <c r="L133" s="25"/>
      <c r="M133" s="25"/>
    </row>
    <row r="134" spans="2:13" x14ac:dyDescent="0.25">
      <c r="B134" s="25"/>
      <c r="C134" s="25"/>
      <c r="D134" s="25"/>
      <c r="E134" s="25"/>
      <c r="F134" s="25"/>
      <c r="G134" s="25"/>
      <c r="H134" s="25"/>
      <c r="I134" s="25"/>
      <c r="J134" s="25"/>
      <c r="K134" s="25"/>
      <c r="L134" s="25"/>
      <c r="M134" s="25"/>
    </row>
    <row r="136" spans="2:13" x14ac:dyDescent="0.25">
      <c r="B136" s="4"/>
      <c r="C136" s="4" t="s">
        <v>35</v>
      </c>
      <c r="D136" s="4" t="s">
        <v>36</v>
      </c>
      <c r="E136" s="2" t="s">
        <v>39</v>
      </c>
      <c r="F136" s="2"/>
      <c r="G136" s="2"/>
    </row>
    <row r="137" spans="2:13" x14ac:dyDescent="0.25">
      <c r="B137" s="4" t="s">
        <v>37</v>
      </c>
      <c r="C137" s="4">
        <v>-5600</v>
      </c>
      <c r="D137" s="4">
        <v>0</v>
      </c>
      <c r="E137" s="2" t="s">
        <v>38</v>
      </c>
      <c r="F137" s="2"/>
      <c r="G137" s="2"/>
    </row>
    <row r="139" spans="2:13" x14ac:dyDescent="0.25">
      <c r="B139" s="30" t="s">
        <v>40</v>
      </c>
      <c r="C139" s="30" t="s">
        <v>36</v>
      </c>
      <c r="D139" s="31" t="s">
        <v>41</v>
      </c>
      <c r="E139" s="31"/>
      <c r="F139" s="31"/>
      <c r="G139" s="31"/>
      <c r="H139" s="31"/>
      <c r="I139" s="31"/>
      <c r="J139" s="31"/>
    </row>
    <row r="140" spans="2:13" x14ac:dyDescent="0.25">
      <c r="B140" s="32"/>
      <c r="C140" s="30" t="s">
        <v>42</v>
      </c>
      <c r="D140" s="31" t="s">
        <v>43</v>
      </c>
      <c r="E140" s="31"/>
      <c r="F140" s="31"/>
      <c r="G140" s="31"/>
      <c r="H140" s="31"/>
      <c r="I140" s="31"/>
      <c r="J140" s="31"/>
    </row>
    <row r="141" spans="2:13" x14ac:dyDescent="0.25">
      <c r="B141" s="32"/>
      <c r="C141" s="30" t="s">
        <v>35</v>
      </c>
      <c r="D141" s="31" t="s">
        <v>44</v>
      </c>
      <c r="E141" s="31"/>
      <c r="F141" s="31"/>
      <c r="G141" s="31"/>
      <c r="H141" s="31"/>
      <c r="I141" s="31"/>
      <c r="J141" s="31"/>
    </row>
    <row r="143" spans="2:13" x14ac:dyDescent="0.25">
      <c r="B143" s="25" t="s">
        <v>45</v>
      </c>
      <c r="C143" s="25"/>
      <c r="D143" s="25"/>
      <c r="E143" s="25"/>
      <c r="F143" s="25"/>
      <c r="G143" s="25"/>
      <c r="H143" s="25"/>
      <c r="I143" s="25"/>
      <c r="J143" s="25"/>
      <c r="K143" s="25"/>
      <c r="L143" s="25"/>
      <c r="M143" s="25"/>
    </row>
    <row r="144" spans="2:13" x14ac:dyDescent="0.25">
      <c r="B144" s="25"/>
      <c r="C144" s="25"/>
      <c r="D144" s="25"/>
      <c r="E144" s="25"/>
      <c r="F144" s="25"/>
      <c r="G144" s="25"/>
      <c r="H144" s="25"/>
      <c r="I144" s="25"/>
      <c r="J144" s="25"/>
      <c r="K144" s="25"/>
      <c r="L144" s="25"/>
      <c r="M144" s="25"/>
    </row>
    <row r="146" spans="2:13" x14ac:dyDescent="0.25">
      <c r="B146" s="4"/>
      <c r="C146" s="4" t="s">
        <v>35</v>
      </c>
      <c r="D146" s="4" t="s">
        <v>36</v>
      </c>
      <c r="E146" s="2" t="s">
        <v>39</v>
      </c>
      <c r="F146" s="2"/>
      <c r="G146" s="2"/>
    </row>
    <row r="147" spans="2:13" x14ac:dyDescent="0.25">
      <c r="B147" s="4" t="s">
        <v>37</v>
      </c>
      <c r="C147" s="4">
        <v>2100</v>
      </c>
      <c r="D147" s="4">
        <v>2100</v>
      </c>
      <c r="E147" s="2" t="s">
        <v>46</v>
      </c>
      <c r="F147" s="2"/>
      <c r="G147" s="2"/>
    </row>
    <row r="149" spans="2:13" x14ac:dyDescent="0.25">
      <c r="B149" s="30" t="s">
        <v>40</v>
      </c>
      <c r="C149" s="30" t="s">
        <v>35</v>
      </c>
      <c r="D149" s="33" t="s">
        <v>48</v>
      </c>
      <c r="E149" s="34"/>
      <c r="F149" s="34"/>
      <c r="G149" s="34"/>
      <c r="H149" s="34"/>
      <c r="I149" s="34"/>
      <c r="J149" s="35"/>
    </row>
    <row r="150" spans="2:13" x14ac:dyDescent="0.25">
      <c r="B150" s="32"/>
      <c r="C150" s="30" t="s">
        <v>36</v>
      </c>
      <c r="D150" s="31" t="s">
        <v>49</v>
      </c>
      <c r="E150" s="31"/>
      <c r="F150" s="31"/>
      <c r="G150" s="31"/>
      <c r="H150" s="31"/>
      <c r="I150" s="31"/>
      <c r="J150" s="31"/>
    </row>
    <row r="151" spans="2:13" x14ac:dyDescent="0.25">
      <c r="B151" s="32"/>
      <c r="C151" s="30" t="s">
        <v>42</v>
      </c>
      <c r="D151" s="33" t="s">
        <v>47</v>
      </c>
      <c r="E151" s="34"/>
      <c r="F151" s="34"/>
      <c r="G151" s="34"/>
      <c r="H151" s="34"/>
      <c r="I151" s="34"/>
      <c r="J151" s="35"/>
    </row>
    <row r="153" spans="2:13" x14ac:dyDescent="0.25">
      <c r="B153" s="25" t="s">
        <v>50</v>
      </c>
      <c r="C153" s="25"/>
      <c r="D153" s="25"/>
      <c r="E153" s="25"/>
      <c r="F153" s="25"/>
      <c r="G153" s="25"/>
      <c r="H153" s="25"/>
      <c r="I153" s="25"/>
      <c r="J153" s="25"/>
      <c r="K153" s="25"/>
      <c r="L153" s="25"/>
      <c r="M153" s="25"/>
    </row>
    <row r="154" spans="2:13" x14ac:dyDescent="0.25">
      <c r="B154" s="25"/>
      <c r="C154" s="25"/>
      <c r="D154" s="25"/>
      <c r="E154" s="25"/>
      <c r="F154" s="25"/>
      <c r="G154" s="25"/>
      <c r="H154" s="25"/>
      <c r="I154" s="25"/>
      <c r="J154" s="25"/>
      <c r="K154" s="25"/>
      <c r="L154" s="25"/>
      <c r="M154" s="25"/>
    </row>
    <row r="156" spans="2:13" x14ac:dyDescent="0.25">
      <c r="B156" s="4"/>
      <c r="C156" s="4" t="s">
        <v>35</v>
      </c>
      <c r="D156" s="4" t="s">
        <v>36</v>
      </c>
      <c r="E156" s="2" t="s">
        <v>39</v>
      </c>
      <c r="F156" s="2"/>
      <c r="G156" s="2"/>
    </row>
    <row r="157" spans="2:13" x14ac:dyDescent="0.25">
      <c r="B157" s="4" t="s">
        <v>37</v>
      </c>
      <c r="C157" s="4">
        <v>3500</v>
      </c>
      <c r="D157" s="4">
        <v>-1400</v>
      </c>
      <c r="E157" s="2" t="s">
        <v>51</v>
      </c>
      <c r="F157" s="2"/>
      <c r="G157" s="2"/>
    </row>
    <row r="159" spans="2:13" x14ac:dyDescent="0.25">
      <c r="B159" s="30" t="s">
        <v>40</v>
      </c>
      <c r="C159" s="30" t="s">
        <v>35</v>
      </c>
      <c r="D159" s="33" t="s">
        <v>53</v>
      </c>
      <c r="E159" s="34"/>
      <c r="F159" s="34"/>
      <c r="G159" s="34"/>
      <c r="H159" s="34"/>
      <c r="I159" s="34"/>
      <c r="J159" s="35"/>
    </row>
    <row r="160" spans="2:13" x14ac:dyDescent="0.25">
      <c r="B160" s="32"/>
      <c r="C160" s="30" t="s">
        <v>36</v>
      </c>
      <c r="D160" s="31" t="s">
        <v>54</v>
      </c>
      <c r="E160" s="31"/>
      <c r="F160" s="31"/>
      <c r="G160" s="31"/>
      <c r="H160" s="31"/>
      <c r="I160" s="31"/>
      <c r="J160" s="31"/>
    </row>
    <row r="161" spans="2:13" x14ac:dyDescent="0.25">
      <c r="B161" s="32"/>
      <c r="C161" s="30" t="s">
        <v>42</v>
      </c>
      <c r="D161" s="33" t="s">
        <v>52</v>
      </c>
      <c r="E161" s="34"/>
      <c r="F161" s="34"/>
      <c r="G161" s="34"/>
      <c r="H161" s="34"/>
      <c r="I161" s="34"/>
      <c r="J161" s="35"/>
    </row>
    <row r="163" spans="2:13" x14ac:dyDescent="0.25">
      <c r="B163" s="36" t="s">
        <v>55</v>
      </c>
      <c r="C163" s="36"/>
      <c r="D163" s="36"/>
      <c r="E163" s="36"/>
      <c r="F163" s="36"/>
      <c r="G163" s="36"/>
      <c r="H163" s="36"/>
      <c r="I163" s="36"/>
      <c r="J163" s="36"/>
      <c r="K163" s="36"/>
      <c r="L163" s="36"/>
      <c r="M163" s="36"/>
    </row>
    <row r="164" spans="2:13" x14ac:dyDescent="0.25">
      <c r="B164" s="36"/>
      <c r="C164" s="36"/>
      <c r="D164" s="36"/>
      <c r="E164" s="36"/>
      <c r="F164" s="36"/>
      <c r="G164" s="36"/>
      <c r="H164" s="36"/>
      <c r="I164" s="36"/>
      <c r="J164" s="36"/>
      <c r="K164" s="36"/>
      <c r="L164" s="36"/>
      <c r="M164" s="36"/>
    </row>
    <row r="166" spans="2:13" x14ac:dyDescent="0.25">
      <c r="B166" s="4"/>
      <c r="C166" s="4" t="s">
        <v>35</v>
      </c>
      <c r="D166" s="4" t="s">
        <v>36</v>
      </c>
      <c r="E166" s="2" t="s">
        <v>39</v>
      </c>
      <c r="F166" s="2"/>
      <c r="G166" s="2"/>
    </row>
    <row r="167" spans="2:13" x14ac:dyDescent="0.25">
      <c r="B167" s="4" t="s">
        <v>37</v>
      </c>
      <c r="C167" s="4">
        <v>-1700</v>
      </c>
      <c r="D167" s="4">
        <v>-200</v>
      </c>
      <c r="E167" s="2" t="s">
        <v>56</v>
      </c>
      <c r="F167" s="2"/>
      <c r="G167" s="2"/>
    </row>
    <row r="169" spans="2:13" x14ac:dyDescent="0.25">
      <c r="B169" s="30" t="s">
        <v>40</v>
      </c>
      <c r="C169" s="30" t="s">
        <v>35</v>
      </c>
      <c r="D169" s="33" t="s">
        <v>59</v>
      </c>
      <c r="E169" s="34"/>
      <c r="F169" s="34"/>
      <c r="G169" s="34"/>
      <c r="H169" s="34"/>
      <c r="I169" s="34"/>
      <c r="J169" s="35"/>
    </row>
    <row r="170" spans="2:13" x14ac:dyDescent="0.25">
      <c r="B170" s="32"/>
      <c r="C170" s="30" t="s">
        <v>36</v>
      </c>
      <c r="D170" s="31" t="s">
        <v>57</v>
      </c>
      <c r="E170" s="31"/>
      <c r="F170" s="31"/>
      <c r="G170" s="31"/>
      <c r="H170" s="31"/>
      <c r="I170" s="31"/>
      <c r="J170" s="31"/>
    </row>
    <row r="171" spans="2:13" x14ac:dyDescent="0.25">
      <c r="B171" s="32"/>
      <c r="C171" s="30" t="s">
        <v>42</v>
      </c>
      <c r="D171" s="33" t="s">
        <v>58</v>
      </c>
      <c r="E171" s="34"/>
      <c r="F171" s="34"/>
      <c r="G171" s="34"/>
      <c r="H171" s="34"/>
      <c r="I171" s="34"/>
      <c r="J171" s="35"/>
    </row>
    <row r="174" spans="2:13" x14ac:dyDescent="0.25">
      <c r="B174" s="25" t="s">
        <v>66</v>
      </c>
      <c r="C174" s="25"/>
      <c r="D174" s="25"/>
      <c r="E174" s="25"/>
      <c r="F174" s="25"/>
      <c r="G174" s="25"/>
      <c r="H174" s="25"/>
      <c r="I174" s="25"/>
      <c r="J174" s="25"/>
      <c r="K174" s="25"/>
      <c r="L174" s="25"/>
      <c r="M174" s="25"/>
    </row>
    <row r="175" spans="2:13" x14ac:dyDescent="0.25">
      <c r="B175" s="25"/>
      <c r="C175" s="25"/>
      <c r="D175" s="25"/>
      <c r="E175" s="25"/>
      <c r="F175" s="25"/>
      <c r="G175" s="25"/>
      <c r="H175" s="25"/>
      <c r="I175" s="25"/>
      <c r="J175" s="25"/>
      <c r="K175" s="25"/>
      <c r="L175" s="25"/>
      <c r="M175" s="25"/>
    </row>
    <row r="176" spans="2:13" x14ac:dyDescent="0.25">
      <c r="B176" s="25"/>
      <c r="C176" s="25"/>
      <c r="D176" s="25"/>
      <c r="E176" s="25"/>
      <c r="F176" s="25"/>
      <c r="G176" s="25"/>
      <c r="H176" s="25"/>
      <c r="I176" s="25"/>
      <c r="J176" s="25"/>
      <c r="K176" s="25"/>
      <c r="L176" s="25"/>
      <c r="M176" s="25"/>
    </row>
    <row r="177" spans="1:13" x14ac:dyDescent="0.25">
      <c r="B177" s="25"/>
      <c r="C177" s="25"/>
      <c r="D177" s="25"/>
      <c r="E177" s="25"/>
      <c r="F177" s="25"/>
      <c r="G177" s="25"/>
      <c r="H177" s="25"/>
      <c r="I177" s="25"/>
      <c r="J177" s="25"/>
      <c r="K177" s="25"/>
      <c r="L177" s="25"/>
      <c r="M177" s="25"/>
    </row>
    <row r="178" spans="1:13" x14ac:dyDescent="0.25">
      <c r="B178" s="25"/>
      <c r="C178" s="25"/>
      <c r="D178" s="25"/>
      <c r="E178" s="25"/>
      <c r="F178" s="25"/>
      <c r="G178" s="25"/>
      <c r="H178" s="25"/>
      <c r="I178" s="25"/>
      <c r="J178" s="25"/>
      <c r="K178" s="25"/>
      <c r="L178" s="25"/>
      <c r="M178" s="25"/>
    </row>
    <row r="179" spans="1:13" x14ac:dyDescent="0.25">
      <c r="B179" s="25"/>
      <c r="C179" s="25"/>
      <c r="D179" s="25"/>
      <c r="E179" s="25"/>
      <c r="F179" s="25"/>
      <c r="G179" s="25"/>
      <c r="H179" s="25"/>
      <c r="I179" s="25"/>
      <c r="J179" s="25"/>
      <c r="K179" s="25"/>
      <c r="L179" s="25"/>
      <c r="M179" s="25"/>
    </row>
    <row r="180" spans="1:13" x14ac:dyDescent="0.25">
      <c r="B180" s="25"/>
      <c r="C180" s="25"/>
      <c r="D180" s="25"/>
      <c r="E180" s="25"/>
      <c r="F180" s="25"/>
      <c r="G180" s="25"/>
      <c r="H180" s="25"/>
      <c r="I180" s="25"/>
      <c r="J180" s="25"/>
      <c r="K180" s="25"/>
      <c r="L180" s="25"/>
      <c r="M180" s="25"/>
    </row>
    <row r="181" spans="1:13" x14ac:dyDescent="0.25">
      <c r="B181" s="25"/>
      <c r="C181" s="25"/>
      <c r="D181" s="25"/>
      <c r="E181" s="25"/>
      <c r="F181" s="25"/>
      <c r="G181" s="25"/>
      <c r="H181" s="25"/>
      <c r="I181" s="25"/>
      <c r="J181" s="25"/>
      <c r="K181" s="25"/>
      <c r="L181" s="25"/>
      <c r="M181" s="25"/>
    </row>
    <row r="182" spans="1:13" x14ac:dyDescent="0.25">
      <c r="B182" s="25" t="s">
        <v>65</v>
      </c>
      <c r="C182" s="25"/>
      <c r="D182" s="25"/>
      <c r="E182" s="25"/>
      <c r="F182" s="25"/>
      <c r="G182" s="25"/>
      <c r="H182" s="25"/>
      <c r="I182" s="25"/>
      <c r="J182" s="25"/>
      <c r="K182" s="25"/>
      <c r="L182" s="25"/>
      <c r="M182" s="25"/>
    </row>
    <row r="183" spans="1:13" x14ac:dyDescent="0.25">
      <c r="B183" s="25"/>
      <c r="C183" s="25"/>
      <c r="D183" s="25"/>
      <c r="E183" s="25"/>
      <c r="F183" s="25"/>
      <c r="G183" s="25"/>
      <c r="H183" s="25"/>
      <c r="I183" s="25"/>
      <c r="J183" s="25"/>
      <c r="K183" s="25"/>
      <c r="L183" s="25"/>
      <c r="M183" s="25"/>
    </row>
    <row r="184" spans="1:13" x14ac:dyDescent="0.25">
      <c r="B184" s="25"/>
      <c r="C184" s="25"/>
      <c r="D184" s="25"/>
      <c r="E184" s="25"/>
      <c r="F184" s="25"/>
      <c r="G184" s="25"/>
      <c r="H184" s="25"/>
      <c r="I184" s="25"/>
      <c r="J184" s="25"/>
      <c r="K184" s="25"/>
      <c r="L184" s="25"/>
      <c r="M184" s="25"/>
    </row>
    <row r="186" spans="1:13" x14ac:dyDescent="0.25">
      <c r="A186" s="44" t="s">
        <v>64</v>
      </c>
      <c r="B186" s="2" t="s">
        <v>63</v>
      </c>
      <c r="C186" s="2"/>
      <c r="D186" s="43">
        <v>20000000</v>
      </c>
      <c r="E186" s="43"/>
    </row>
    <row r="187" spans="1:13" x14ac:dyDescent="0.25">
      <c r="B187" s="2" t="s">
        <v>62</v>
      </c>
      <c r="C187" s="2"/>
      <c r="D187" s="43">
        <v>5000000</v>
      </c>
      <c r="E187" s="43"/>
    </row>
    <row r="188" spans="1:13" x14ac:dyDescent="0.25">
      <c r="B188" s="1"/>
      <c r="C188" s="1"/>
      <c r="D188" s="41"/>
      <c r="E188" s="41"/>
      <c r="H188" t="s">
        <v>7</v>
      </c>
      <c r="I188" s="45">
        <f>D187</f>
        <v>5000000</v>
      </c>
    </row>
    <row r="189" spans="1:13" x14ac:dyDescent="0.25">
      <c r="B189" s="2" t="s">
        <v>10</v>
      </c>
      <c r="C189" s="2"/>
      <c r="D189" s="47">
        <v>2.7300000000000001E-2</v>
      </c>
      <c r="E189" s="41"/>
    </row>
    <row r="190" spans="1:13" x14ac:dyDescent="0.25">
      <c r="B190" s="2" t="s">
        <v>17</v>
      </c>
      <c r="C190" s="2"/>
      <c r="D190" s="48">
        <v>100</v>
      </c>
      <c r="E190" s="37" t="s">
        <v>9</v>
      </c>
      <c r="H190" s="1"/>
      <c r="I190" s="49">
        <f>((1+D189)^D191)*((1+D192)^D194)*((1+D195)^D197)</f>
        <v>1.2839483504075833</v>
      </c>
    </row>
    <row r="191" spans="1:13" x14ac:dyDescent="0.25">
      <c r="B191" s="46" t="s">
        <v>2</v>
      </c>
      <c r="C191" s="46"/>
      <c r="D191" s="49">
        <f>D190/30</f>
        <v>3.3333333333333335</v>
      </c>
      <c r="G191" s="26" t="s">
        <v>68</v>
      </c>
      <c r="H191" s="26"/>
      <c r="I191" s="27">
        <f>I190-1</f>
        <v>0.28394835040758326</v>
      </c>
    </row>
    <row r="192" spans="1:13" x14ac:dyDescent="0.25">
      <c r="B192" s="2" t="s">
        <v>21</v>
      </c>
      <c r="C192" s="2"/>
      <c r="D192" s="42">
        <v>0.221</v>
      </c>
      <c r="E192" s="41"/>
    </row>
    <row r="193" spans="2:13" x14ac:dyDescent="0.25">
      <c r="B193" s="2" t="s">
        <v>17</v>
      </c>
      <c r="C193" s="2"/>
      <c r="D193" s="40">
        <v>100</v>
      </c>
      <c r="E193" s="37" t="s">
        <v>9</v>
      </c>
      <c r="H193" s="52" t="s">
        <v>67</v>
      </c>
      <c r="I193" s="53">
        <f>I188*(1+I191)^1</f>
        <v>6419741.7520379163</v>
      </c>
    </row>
    <row r="194" spans="2:13" x14ac:dyDescent="0.25">
      <c r="B194" s="46" t="s">
        <v>2</v>
      </c>
      <c r="C194" s="46"/>
      <c r="D194" s="1">
        <f>D193/360</f>
        <v>0.27777777777777779</v>
      </c>
      <c r="E194" s="37"/>
    </row>
    <row r="195" spans="2:13" x14ac:dyDescent="0.25">
      <c r="B195" s="2" t="s">
        <v>61</v>
      </c>
      <c r="C195" s="2"/>
      <c r="D195" s="42">
        <v>0.125</v>
      </c>
      <c r="E195" s="41"/>
      <c r="I195" s="54">
        <f>((I191+1)^(30/360))</f>
        <v>1.021046755104873</v>
      </c>
    </row>
    <row r="196" spans="2:13" x14ac:dyDescent="0.25">
      <c r="B196" s="2" t="s">
        <v>17</v>
      </c>
      <c r="C196" s="2"/>
      <c r="D196" s="40">
        <v>160</v>
      </c>
      <c r="E196" s="37" t="s">
        <v>9</v>
      </c>
      <c r="G196" s="26" t="s">
        <v>3</v>
      </c>
      <c r="H196" s="26"/>
      <c r="I196" s="55">
        <f>I195-1</f>
        <v>2.1046755104872972E-2</v>
      </c>
    </row>
    <row r="197" spans="2:13" x14ac:dyDescent="0.25">
      <c r="B197" s="46" t="s">
        <v>2</v>
      </c>
      <c r="C197" s="46"/>
      <c r="D197" s="1">
        <f>D196/180</f>
        <v>0.88888888888888884</v>
      </c>
      <c r="E197" s="37"/>
    </row>
    <row r="198" spans="2:13" x14ac:dyDescent="0.25">
      <c r="B198" s="2" t="s">
        <v>11</v>
      </c>
      <c r="C198" s="2"/>
      <c r="D198" s="4">
        <v>360</v>
      </c>
      <c r="E198" s="37"/>
    </row>
    <row r="199" spans="2:13" x14ac:dyDescent="0.25">
      <c r="B199" s="1"/>
      <c r="C199" s="1"/>
      <c r="D199" s="39"/>
      <c r="E199" s="37"/>
    </row>
    <row r="200" spans="2:13" x14ac:dyDescent="0.25">
      <c r="B200" s="1"/>
      <c r="C200" s="1"/>
      <c r="D200" s="39"/>
      <c r="E200" s="37"/>
    </row>
    <row r="201" spans="2:13" x14ac:dyDescent="0.25">
      <c r="B201" s="1"/>
      <c r="C201" s="1"/>
      <c r="D201" s="38"/>
      <c r="E201" s="37"/>
    </row>
    <row r="202" spans="2:13" x14ac:dyDescent="0.25">
      <c r="B202" s="15" t="s">
        <v>60</v>
      </c>
      <c r="C202" s="15"/>
      <c r="D202" s="15"/>
      <c r="E202" s="15"/>
      <c r="F202" s="15"/>
      <c r="G202" s="15"/>
      <c r="H202" s="15"/>
      <c r="I202" s="15"/>
      <c r="J202" s="15"/>
      <c r="K202" s="15"/>
      <c r="L202" s="15"/>
      <c r="M202" s="15"/>
    </row>
    <row r="203" spans="2:13" x14ac:dyDescent="0.25">
      <c r="B203" s="15"/>
      <c r="C203" s="15"/>
      <c r="D203" s="15"/>
      <c r="E203" s="15"/>
      <c r="F203" s="15"/>
      <c r="G203" s="15"/>
      <c r="H203" s="15"/>
      <c r="I203" s="15"/>
      <c r="J203" s="15"/>
      <c r="K203" s="15"/>
      <c r="L203" s="15"/>
      <c r="M203" s="15"/>
    </row>
    <row r="204" spans="2:13" x14ac:dyDescent="0.25">
      <c r="B204" s="15"/>
      <c r="C204" s="15"/>
      <c r="D204" s="15"/>
      <c r="E204" s="15"/>
      <c r="F204" s="15"/>
      <c r="G204" s="15"/>
      <c r="H204" s="15"/>
      <c r="I204" s="15"/>
      <c r="J204" s="15"/>
      <c r="K204" s="15"/>
      <c r="L204" s="15"/>
      <c r="M204" s="15"/>
    </row>
    <row r="205" spans="2:13" x14ac:dyDescent="0.25">
      <c r="B205" s="15"/>
      <c r="C205" s="15"/>
      <c r="D205" s="15"/>
      <c r="E205" s="15"/>
      <c r="F205" s="15"/>
      <c r="G205" s="15"/>
      <c r="H205" s="15"/>
      <c r="I205" s="15"/>
      <c r="J205" s="15"/>
      <c r="K205" s="15"/>
      <c r="L205" s="15"/>
      <c r="M205" s="15"/>
    </row>
    <row r="206" spans="2:13" x14ac:dyDescent="0.25">
      <c r="B206" s="15"/>
      <c r="C206" s="15"/>
      <c r="D206" s="15"/>
      <c r="E206" s="15"/>
      <c r="F206" s="15"/>
      <c r="G206" s="15"/>
      <c r="H206" s="15"/>
      <c r="I206" s="15"/>
      <c r="J206" s="15"/>
      <c r="K206" s="15"/>
      <c r="L206" s="15"/>
      <c r="M206" s="15"/>
    </row>
    <row r="207" spans="2:13" x14ac:dyDescent="0.25">
      <c r="B207" s="15"/>
      <c r="C207" s="15"/>
      <c r="D207" s="15"/>
      <c r="E207" s="15"/>
      <c r="F207" s="15"/>
      <c r="G207" s="15"/>
      <c r="H207" s="15"/>
      <c r="I207" s="15"/>
      <c r="J207" s="15"/>
      <c r="K207" s="15"/>
      <c r="L207" s="15"/>
      <c r="M207" s="15"/>
    </row>
    <row r="209" spans="1:17" x14ac:dyDescent="0.25">
      <c r="A209" s="44" t="s">
        <v>69</v>
      </c>
      <c r="B209" s="2" t="s">
        <v>63</v>
      </c>
      <c r="C209" s="2"/>
      <c r="D209" s="43">
        <v>20000000</v>
      </c>
      <c r="E209" s="43"/>
      <c r="G209" s="8" t="s">
        <v>71</v>
      </c>
      <c r="H209" s="8"/>
      <c r="I209" s="8"/>
    </row>
    <row r="210" spans="1:17" x14ac:dyDescent="0.25">
      <c r="B210" s="2" t="s">
        <v>62</v>
      </c>
      <c r="C210" s="2"/>
      <c r="D210" s="43">
        <v>5000000</v>
      </c>
      <c r="E210" s="43"/>
      <c r="G210" s="8"/>
      <c r="H210" s="8"/>
      <c r="I210" s="8"/>
      <c r="J210" s="56">
        <v>350000</v>
      </c>
      <c r="K210" t="s">
        <v>73</v>
      </c>
    </row>
    <row r="211" spans="1:17" x14ac:dyDescent="0.25">
      <c r="B211" s="2" t="s">
        <v>70</v>
      </c>
      <c r="C211" s="2"/>
      <c r="D211" s="2">
        <v>5</v>
      </c>
      <c r="E211" s="2"/>
      <c r="G211" s="8"/>
      <c r="H211" s="8"/>
      <c r="I211" s="8"/>
    </row>
    <row r="212" spans="1:17" x14ac:dyDescent="0.25">
      <c r="B212" s="4" t="s">
        <v>74</v>
      </c>
      <c r="C212" s="3">
        <v>0.8</v>
      </c>
      <c r="D212" s="58">
        <f>D210*C212</f>
        <v>4000000</v>
      </c>
      <c r="E212" s="2"/>
      <c r="G212" t="s">
        <v>72</v>
      </c>
      <c r="J212" s="57">
        <v>110000</v>
      </c>
      <c r="K212" t="s">
        <v>73</v>
      </c>
    </row>
    <row r="215" spans="1:17" x14ac:dyDescent="0.25">
      <c r="B215" s="4"/>
      <c r="C215" s="4"/>
      <c r="D215" s="4">
        <v>1</v>
      </c>
      <c r="E215" s="4">
        <f>D215+1</f>
        <v>2</v>
      </c>
      <c r="F215" s="4">
        <f t="shared" ref="F215:P215" si="0">E215+1</f>
        <v>3</v>
      </c>
      <c r="G215" s="4">
        <f t="shared" si="0"/>
        <v>4</v>
      </c>
      <c r="H215" s="4">
        <f t="shared" si="0"/>
        <v>5</v>
      </c>
      <c r="I215" s="4">
        <f t="shared" si="0"/>
        <v>6</v>
      </c>
      <c r="J215" s="4">
        <f t="shared" si="0"/>
        <v>7</v>
      </c>
      <c r="K215" s="4">
        <f t="shared" si="0"/>
        <v>8</v>
      </c>
      <c r="L215" s="4">
        <f t="shared" si="0"/>
        <v>9</v>
      </c>
      <c r="M215" s="4">
        <f t="shared" si="0"/>
        <v>10</v>
      </c>
      <c r="N215" s="4">
        <f>M215+1</f>
        <v>11</v>
      </c>
      <c r="O215" s="4">
        <f t="shared" si="0"/>
        <v>12</v>
      </c>
      <c r="P215" s="4">
        <f t="shared" si="0"/>
        <v>13</v>
      </c>
    </row>
    <row r="216" spans="1:17" x14ac:dyDescent="0.25">
      <c r="B216" s="60" t="s">
        <v>75</v>
      </c>
      <c r="C216" s="4" t="s">
        <v>76</v>
      </c>
      <c r="D216" s="61">
        <f>-D210</f>
        <v>-5000000</v>
      </c>
      <c r="E216" s="61"/>
      <c r="F216" s="4"/>
      <c r="G216" s="4"/>
      <c r="H216" s="4"/>
      <c r="I216" s="4"/>
      <c r="J216" s="4"/>
      <c r="K216" s="4"/>
      <c r="L216" s="4"/>
      <c r="M216" s="4"/>
      <c r="N216" s="4"/>
      <c r="O216" s="4"/>
      <c r="P216" s="4"/>
    </row>
    <row r="217" spans="1:17" x14ac:dyDescent="0.25">
      <c r="B217" s="60"/>
      <c r="C217" s="4" t="s">
        <v>72</v>
      </c>
      <c r="D217" s="4"/>
      <c r="E217" s="62">
        <f>-$J$212</f>
        <v>-110000</v>
      </c>
      <c r="F217" s="62">
        <f t="shared" ref="F217:P217" si="1">-$J$212</f>
        <v>-110000</v>
      </c>
      <c r="G217" s="62">
        <f t="shared" si="1"/>
        <v>-110000</v>
      </c>
      <c r="H217" s="62">
        <f t="shared" si="1"/>
        <v>-110000</v>
      </c>
      <c r="I217" s="62">
        <f t="shared" si="1"/>
        <v>-110000</v>
      </c>
      <c r="J217" s="62">
        <f t="shared" si="1"/>
        <v>-110000</v>
      </c>
      <c r="K217" s="62">
        <f t="shared" si="1"/>
        <v>-110000</v>
      </c>
      <c r="L217" s="62">
        <f t="shared" si="1"/>
        <v>-110000</v>
      </c>
      <c r="M217" s="62">
        <f t="shared" si="1"/>
        <v>-110000</v>
      </c>
      <c r="N217" s="62">
        <f t="shared" si="1"/>
        <v>-110000</v>
      </c>
      <c r="O217" s="62">
        <f t="shared" si="1"/>
        <v>-110000</v>
      </c>
      <c r="P217" s="62">
        <f t="shared" si="1"/>
        <v>-110000</v>
      </c>
    </row>
    <row r="218" spans="1:17" x14ac:dyDescent="0.25">
      <c r="B218" s="4" t="s">
        <v>77</v>
      </c>
      <c r="C218" s="4" t="s">
        <v>79</v>
      </c>
      <c r="D218" s="4"/>
      <c r="E218" s="63">
        <f>$J$210</f>
        <v>350000</v>
      </c>
      <c r="F218" s="63">
        <f t="shared" ref="F218:P218" si="2">$J$210</f>
        <v>350000</v>
      </c>
      <c r="G218" s="63">
        <f t="shared" si="2"/>
        <v>350000</v>
      </c>
      <c r="H218" s="63">
        <f t="shared" si="2"/>
        <v>350000</v>
      </c>
      <c r="I218" s="63">
        <f t="shared" si="2"/>
        <v>350000</v>
      </c>
      <c r="J218" s="63">
        <f t="shared" si="2"/>
        <v>350000</v>
      </c>
      <c r="K218" s="63">
        <f t="shared" si="2"/>
        <v>350000</v>
      </c>
      <c r="L218" s="63">
        <f t="shared" si="2"/>
        <v>350000</v>
      </c>
      <c r="M218" s="63">
        <f t="shared" si="2"/>
        <v>350000</v>
      </c>
      <c r="N218" s="63">
        <f t="shared" si="2"/>
        <v>350000</v>
      </c>
      <c r="O218" s="63">
        <f t="shared" si="2"/>
        <v>350000</v>
      </c>
      <c r="P218" s="63">
        <f t="shared" si="2"/>
        <v>350000</v>
      </c>
    </row>
    <row r="219" spans="1:17" x14ac:dyDescent="0.25">
      <c r="B219" s="4"/>
      <c r="C219" s="4" t="s">
        <v>78</v>
      </c>
      <c r="D219" s="4"/>
      <c r="E219" s="4"/>
      <c r="F219" s="4"/>
      <c r="G219" s="4"/>
      <c r="H219" s="4"/>
      <c r="I219" s="4"/>
      <c r="J219" s="4"/>
      <c r="K219" s="4"/>
      <c r="L219" s="4"/>
      <c r="M219" s="4"/>
      <c r="N219" s="4"/>
      <c r="O219" s="4"/>
      <c r="P219" s="64">
        <f>D212</f>
        <v>4000000</v>
      </c>
    </row>
    <row r="220" spans="1:17" x14ac:dyDescent="0.25">
      <c r="B220" s="2" t="s">
        <v>80</v>
      </c>
      <c r="C220" s="2"/>
      <c r="D220" s="61">
        <f>SUM(D216:D219)</f>
        <v>-5000000</v>
      </c>
      <c r="E220" s="61">
        <f t="shared" ref="E220:P220" si="3">SUM(E216:E219)</f>
        <v>240000</v>
      </c>
      <c r="F220" s="61">
        <f t="shared" si="3"/>
        <v>240000</v>
      </c>
      <c r="G220" s="61">
        <f t="shared" si="3"/>
        <v>240000</v>
      </c>
      <c r="H220" s="61">
        <f t="shared" si="3"/>
        <v>240000</v>
      </c>
      <c r="I220" s="61">
        <f t="shared" si="3"/>
        <v>240000</v>
      </c>
      <c r="J220" s="61">
        <f t="shared" si="3"/>
        <v>240000</v>
      </c>
      <c r="K220" s="61">
        <f t="shared" si="3"/>
        <v>240000</v>
      </c>
      <c r="L220" s="61">
        <f t="shared" si="3"/>
        <v>240000</v>
      </c>
      <c r="M220" s="61">
        <f t="shared" si="3"/>
        <v>240000</v>
      </c>
      <c r="N220" s="61">
        <f t="shared" si="3"/>
        <v>240000</v>
      </c>
      <c r="O220" s="61">
        <f t="shared" si="3"/>
        <v>240000</v>
      </c>
      <c r="P220" s="61">
        <f t="shared" si="3"/>
        <v>4240000</v>
      </c>
      <c r="Q220" s="59">
        <f>SUM(D220:P220)</f>
        <v>1880000</v>
      </c>
    </row>
    <row r="222" spans="1:17" x14ac:dyDescent="0.25">
      <c r="B222" s="66" t="s">
        <v>81</v>
      </c>
      <c r="C222" s="67"/>
      <c r="D222" s="4">
        <v>0</v>
      </c>
      <c r="E222" s="4">
        <f>D222+1</f>
        <v>1</v>
      </c>
      <c r="F222" s="4">
        <f t="shared" ref="F222:Q222" si="4">E222+1</f>
        <v>2</v>
      </c>
      <c r="G222" s="4">
        <f t="shared" si="4"/>
        <v>3</v>
      </c>
      <c r="H222" s="4">
        <f t="shared" si="4"/>
        <v>4</v>
      </c>
      <c r="I222" s="4">
        <f t="shared" si="4"/>
        <v>5</v>
      </c>
      <c r="J222" s="4">
        <f t="shared" si="4"/>
        <v>6</v>
      </c>
      <c r="K222" s="4">
        <f t="shared" si="4"/>
        <v>7</v>
      </c>
      <c r="L222" s="4">
        <f t="shared" si="4"/>
        <v>8</v>
      </c>
      <c r="M222" s="4">
        <f t="shared" si="4"/>
        <v>9</v>
      </c>
      <c r="N222" s="4">
        <f t="shared" si="4"/>
        <v>10</v>
      </c>
      <c r="O222" s="4">
        <f t="shared" si="4"/>
        <v>11</v>
      </c>
      <c r="P222" s="4">
        <f t="shared" si="4"/>
        <v>12</v>
      </c>
      <c r="Q222" s="4">
        <f t="shared" si="4"/>
        <v>13</v>
      </c>
    </row>
    <row r="223" spans="1:17" x14ac:dyDescent="0.25">
      <c r="B223" s="60" t="s">
        <v>75</v>
      </c>
      <c r="C223" s="4" t="s">
        <v>76</v>
      </c>
      <c r="D223" s="61"/>
      <c r="E223" s="61">
        <f>D216</f>
        <v>-5000000</v>
      </c>
      <c r="F223" s="4"/>
      <c r="G223" s="4"/>
      <c r="H223" s="4"/>
      <c r="I223" s="4"/>
      <c r="J223" s="4"/>
      <c r="K223" s="4"/>
      <c r="L223" s="4"/>
      <c r="M223" s="4"/>
      <c r="N223" s="4"/>
      <c r="O223" s="4"/>
      <c r="P223" s="4"/>
      <c r="Q223" s="4"/>
    </row>
    <row r="224" spans="1:17" x14ac:dyDescent="0.25">
      <c r="B224" s="60"/>
      <c r="C224" s="4" t="s">
        <v>72</v>
      </c>
      <c r="D224" s="4"/>
      <c r="E224" s="62">
        <f>E217*0.5</f>
        <v>-55000</v>
      </c>
      <c r="F224" s="62">
        <f>E217*0.5+F217*0.5</f>
        <v>-110000</v>
      </c>
      <c r="G224" s="62">
        <f t="shared" ref="G224:Q224" si="5">F217*0.5+G217*0.5</f>
        <v>-110000</v>
      </c>
      <c r="H224" s="62">
        <f t="shared" si="5"/>
        <v>-110000</v>
      </c>
      <c r="I224" s="62">
        <f t="shared" si="5"/>
        <v>-110000</v>
      </c>
      <c r="J224" s="62">
        <f t="shared" si="5"/>
        <v>-110000</v>
      </c>
      <c r="K224" s="62">
        <f t="shared" si="5"/>
        <v>-110000</v>
      </c>
      <c r="L224" s="62">
        <f t="shared" si="5"/>
        <v>-110000</v>
      </c>
      <c r="M224" s="62">
        <f t="shared" si="5"/>
        <v>-110000</v>
      </c>
      <c r="N224" s="62">
        <f t="shared" si="5"/>
        <v>-110000</v>
      </c>
      <c r="O224" s="62">
        <f t="shared" si="5"/>
        <v>-110000</v>
      </c>
      <c r="P224" s="62">
        <f t="shared" si="5"/>
        <v>-110000</v>
      </c>
      <c r="Q224" s="62">
        <f t="shared" si="5"/>
        <v>-55000</v>
      </c>
    </row>
    <row r="225" spans="2:18" x14ac:dyDescent="0.25">
      <c r="B225" s="4" t="s">
        <v>77</v>
      </c>
      <c r="C225" s="4" t="s">
        <v>79</v>
      </c>
      <c r="D225" s="4"/>
      <c r="E225" s="62">
        <f>E218*0.5</f>
        <v>175000</v>
      </c>
      <c r="F225" s="62">
        <f>E218*0.5+F218*0.5</f>
        <v>350000</v>
      </c>
      <c r="G225" s="62">
        <f>F218*0.5+G218*0.5</f>
        <v>350000</v>
      </c>
      <c r="H225" s="62">
        <f>G218*0.5+H218*0.5</f>
        <v>350000</v>
      </c>
      <c r="I225" s="62">
        <f>H218*0.5+I218*0.5</f>
        <v>350000</v>
      </c>
      <c r="J225" s="62">
        <f>I218*0.5+J218*0.5</f>
        <v>350000</v>
      </c>
      <c r="K225" s="62">
        <f>J218*0.5+K218*0.5</f>
        <v>350000</v>
      </c>
      <c r="L225" s="62">
        <f>K218*0.5+L218*0.5</f>
        <v>350000</v>
      </c>
      <c r="M225" s="62">
        <f>L218*0.5+M218*0.5</f>
        <v>350000</v>
      </c>
      <c r="N225" s="62">
        <f>M218*0.5+N218*0.5</f>
        <v>350000</v>
      </c>
      <c r="O225" s="62">
        <f>N218*0.5+O218*0.5</f>
        <v>350000</v>
      </c>
      <c r="P225" s="62">
        <f>O218*0.5+P218*0.5</f>
        <v>350000</v>
      </c>
      <c r="Q225" s="62">
        <f>P218*0.5+Q218*0.5</f>
        <v>175000</v>
      </c>
    </row>
    <row r="226" spans="2:18" x14ac:dyDescent="0.25">
      <c r="B226" s="4"/>
      <c r="C226" s="4" t="s">
        <v>78</v>
      </c>
      <c r="D226" s="4"/>
      <c r="E226" s="4"/>
      <c r="F226" s="4"/>
      <c r="G226" s="4"/>
      <c r="H226" s="4"/>
      <c r="I226" s="4"/>
      <c r="J226" s="4"/>
      <c r="K226" s="4"/>
      <c r="L226" s="4"/>
      <c r="M226" s="4"/>
      <c r="N226" s="4"/>
      <c r="O226" s="4"/>
      <c r="P226" s="62"/>
      <c r="Q226" s="62">
        <f>P219</f>
        <v>4000000</v>
      </c>
    </row>
    <row r="227" spans="2:18" x14ac:dyDescent="0.25">
      <c r="B227" s="2" t="s">
        <v>80</v>
      </c>
      <c r="C227" s="2"/>
      <c r="D227" s="65">
        <f>SUM(D223:D226)</f>
        <v>0</v>
      </c>
      <c r="E227" s="65">
        <f t="shared" ref="E227:P227" si="6">SUM(E223:E226)</f>
        <v>-4880000</v>
      </c>
      <c r="F227" s="65">
        <f t="shared" si="6"/>
        <v>240000</v>
      </c>
      <c r="G227" s="65">
        <f t="shared" si="6"/>
        <v>240000</v>
      </c>
      <c r="H227" s="65">
        <f t="shared" si="6"/>
        <v>240000</v>
      </c>
      <c r="I227" s="65">
        <f t="shared" si="6"/>
        <v>240000</v>
      </c>
      <c r="J227" s="65">
        <f t="shared" si="6"/>
        <v>240000</v>
      </c>
      <c r="K227" s="65">
        <f t="shared" si="6"/>
        <v>240000</v>
      </c>
      <c r="L227" s="65">
        <f t="shared" si="6"/>
        <v>240000</v>
      </c>
      <c r="M227" s="65">
        <f t="shared" si="6"/>
        <v>240000</v>
      </c>
      <c r="N227" s="65">
        <f t="shared" si="6"/>
        <v>240000</v>
      </c>
      <c r="O227" s="65">
        <f t="shared" si="6"/>
        <v>240000</v>
      </c>
      <c r="P227" s="65">
        <f t="shared" si="6"/>
        <v>240000</v>
      </c>
      <c r="Q227" s="65">
        <f>SUM(Q223:Q226)</f>
        <v>4120000</v>
      </c>
      <c r="R227" s="59">
        <f>SUM(D227:Q227)</f>
        <v>1880000</v>
      </c>
    </row>
    <row r="229" spans="2:18" x14ac:dyDescent="0.25">
      <c r="C229" s="68" t="s">
        <v>82</v>
      </c>
      <c r="D229" s="69">
        <f>IRR(D227:Q227)</f>
        <v>3.5159506081013259E-2</v>
      </c>
    </row>
    <row r="231" spans="2:18" x14ac:dyDescent="0.25">
      <c r="C231" s="68" t="s">
        <v>37</v>
      </c>
      <c r="D231" s="70">
        <f>(NPV(I196,F227:Q227))+E227</f>
        <v>663770.51051641908</v>
      </c>
    </row>
    <row r="232" spans="2:18" x14ac:dyDescent="0.25">
      <c r="C232" s="71"/>
      <c r="D232" s="72"/>
    </row>
    <row r="233" spans="2:18" x14ac:dyDescent="0.25">
      <c r="B233" s="77" t="s">
        <v>87</v>
      </c>
      <c r="C233" s="78">
        <v>2.1000000000000001E-2</v>
      </c>
    </row>
    <row r="235" spans="2:18" x14ac:dyDescent="0.25">
      <c r="B235" s="66" t="s">
        <v>83</v>
      </c>
      <c r="C235" s="67"/>
      <c r="D235" s="4">
        <v>0</v>
      </c>
      <c r="E235" s="4">
        <f>D235+1</f>
        <v>1</v>
      </c>
      <c r="F235" s="4">
        <f t="shared" ref="F235:Q235" si="7">E235+1</f>
        <v>2</v>
      </c>
      <c r="G235" s="4">
        <f t="shared" si="7"/>
        <v>3</v>
      </c>
      <c r="H235" s="4">
        <f t="shared" si="7"/>
        <v>4</v>
      </c>
      <c r="I235" s="4">
        <f t="shared" si="7"/>
        <v>5</v>
      </c>
      <c r="J235" s="4">
        <f t="shared" si="7"/>
        <v>6</v>
      </c>
      <c r="K235" s="4">
        <f t="shared" si="7"/>
        <v>7</v>
      </c>
      <c r="L235" s="4">
        <f t="shared" si="7"/>
        <v>8</v>
      </c>
      <c r="M235" s="4">
        <f t="shared" si="7"/>
        <v>9</v>
      </c>
      <c r="N235" s="4">
        <f t="shared" si="7"/>
        <v>10</v>
      </c>
      <c r="O235" s="4">
        <f t="shared" si="7"/>
        <v>11</v>
      </c>
      <c r="P235" s="4">
        <f t="shared" si="7"/>
        <v>12</v>
      </c>
      <c r="Q235" s="4">
        <f t="shared" si="7"/>
        <v>13</v>
      </c>
    </row>
    <row r="236" spans="2:18" x14ac:dyDescent="0.25">
      <c r="B236" s="60" t="s">
        <v>75</v>
      </c>
      <c r="C236" s="4" t="s">
        <v>76</v>
      </c>
      <c r="D236" s="61">
        <f>D223/(1+$C$233)^D235</f>
        <v>0</v>
      </c>
      <c r="E236" s="61">
        <f>E223/(1+$C$233)^E235</f>
        <v>-4897159.6474045059</v>
      </c>
      <c r="F236" s="4"/>
      <c r="G236" s="4"/>
      <c r="H236" s="4"/>
      <c r="I236" s="4"/>
      <c r="J236" s="4"/>
      <c r="K236" s="4"/>
      <c r="L236" s="4"/>
      <c r="M236" s="4"/>
      <c r="N236" s="4"/>
      <c r="O236" s="4"/>
      <c r="P236" s="4"/>
      <c r="Q236" s="4"/>
    </row>
    <row r="237" spans="2:18" x14ac:dyDescent="0.25">
      <c r="B237" s="60"/>
      <c r="C237" s="4" t="s">
        <v>72</v>
      </c>
      <c r="D237" s="4"/>
      <c r="E237" s="61">
        <f>E224/(1+$C$233)^E235</f>
        <v>-53868.756121449565</v>
      </c>
      <c r="F237" s="61">
        <f>F224/(1+$C$233)^F235</f>
        <v>-105521.55949353491</v>
      </c>
      <c r="G237" s="61">
        <f>G224/(1+$C$233)^G235</f>
        <v>-103351.1846165866</v>
      </c>
      <c r="H237" s="61">
        <f t="shared" ref="F237:Q237" si="8">H224/(1+$C$233)^H235</f>
        <v>-101225.45016316025</v>
      </c>
      <c r="I237" s="61">
        <f t="shared" si="8"/>
        <v>-99143.437965876859</v>
      </c>
      <c r="J237" s="61">
        <f t="shared" si="8"/>
        <v>-97104.248742288793</v>
      </c>
      <c r="K237" s="61">
        <f t="shared" si="8"/>
        <v>-95107.001706453288</v>
      </c>
      <c r="L237" s="61">
        <f t="shared" si="8"/>
        <v>-93150.834188494904</v>
      </c>
      <c r="M237" s="61">
        <f t="shared" si="8"/>
        <v>-91234.901261993073</v>
      </c>
      <c r="N237" s="61">
        <f t="shared" si="8"/>
        <v>-89358.375379033387</v>
      </c>
      <c r="O237" s="61">
        <f t="shared" si="8"/>
        <v>-87520.446012765315</v>
      </c>
      <c r="P237" s="61">
        <f t="shared" si="8"/>
        <v>-85720.319307311787</v>
      </c>
      <c r="Q237" s="61">
        <f t="shared" si="8"/>
        <v>-41978.608867439667</v>
      </c>
    </row>
    <row r="238" spans="2:18" x14ac:dyDescent="0.25">
      <c r="B238" s="4" t="s">
        <v>77</v>
      </c>
      <c r="C238" s="4" t="s">
        <v>79</v>
      </c>
      <c r="D238" s="4"/>
      <c r="E238" s="61">
        <f>E225/(1+$C$233)^E235</f>
        <v>171400.5876591577</v>
      </c>
      <c r="F238" s="61">
        <f t="shared" ref="F238:Q239" si="9">F225/(1+$C$233)^F235</f>
        <v>335750.41657033836</v>
      </c>
      <c r="G238" s="61">
        <f t="shared" si="9"/>
        <v>328844.67832550284</v>
      </c>
      <c r="H238" s="61">
        <f t="shared" si="9"/>
        <v>322080.97779187356</v>
      </c>
      <c r="I238" s="61">
        <f t="shared" si="9"/>
        <v>315456.39352778997</v>
      </c>
      <c r="J238" s="61">
        <f t="shared" si="9"/>
        <v>308968.06418000982</v>
      </c>
      <c r="K238" s="61">
        <f t="shared" si="9"/>
        <v>302613.18724780594</v>
      </c>
      <c r="L238" s="61">
        <f t="shared" si="9"/>
        <v>296389.01787248382</v>
      </c>
      <c r="M238" s="61">
        <f t="shared" si="9"/>
        <v>290292.86765179614</v>
      </c>
      <c r="N238" s="61">
        <f t="shared" si="9"/>
        <v>284322.10347874259</v>
      </c>
      <c r="O238" s="61">
        <f t="shared" si="9"/>
        <v>278474.14640425326</v>
      </c>
      <c r="P238" s="61">
        <f t="shared" si="9"/>
        <v>272746.47052326478</v>
      </c>
      <c r="Q238" s="61">
        <f t="shared" si="9"/>
        <v>133568.30094185349</v>
      </c>
    </row>
    <row r="239" spans="2:18" x14ac:dyDescent="0.25">
      <c r="B239" s="4"/>
      <c r="C239" s="4" t="s">
        <v>78</v>
      </c>
      <c r="D239" s="4"/>
      <c r="E239" s="4"/>
      <c r="F239" s="4"/>
      <c r="G239" s="4"/>
      <c r="H239" s="4"/>
      <c r="I239" s="4"/>
      <c r="J239" s="4"/>
      <c r="K239" s="4"/>
      <c r="L239" s="4"/>
      <c r="M239" s="4"/>
      <c r="N239" s="4"/>
      <c r="O239" s="4"/>
      <c r="P239" s="62"/>
      <c r="Q239" s="61">
        <f>Q226/(1+$C$233)^Q235</f>
        <v>3052989.7358137937</v>
      </c>
    </row>
    <row r="240" spans="2:18" x14ac:dyDescent="0.25">
      <c r="B240" s="2" t="s">
        <v>80</v>
      </c>
      <c r="C240" s="2"/>
      <c r="D240" s="65">
        <f>SUM(D236:D239)</f>
        <v>0</v>
      </c>
      <c r="E240" s="65">
        <f t="shared" ref="E240" si="10">SUM(E236:E239)</f>
        <v>-4779627.8158667972</v>
      </c>
      <c r="F240" s="65">
        <f t="shared" ref="F240" si="11">SUM(F236:F239)</f>
        <v>230228.85707680346</v>
      </c>
      <c r="G240" s="65">
        <f t="shared" ref="G240" si="12">SUM(G236:G239)</f>
        <v>225493.49370891624</v>
      </c>
      <c r="H240" s="65">
        <f t="shared" ref="H240" si="13">SUM(H236:H239)</f>
        <v>220855.52762871332</v>
      </c>
      <c r="I240" s="65">
        <f t="shared" ref="I240" si="14">SUM(I236:I239)</f>
        <v>216312.95556191311</v>
      </c>
      <c r="J240" s="65">
        <f t="shared" ref="J240" si="15">SUM(J236:J239)</f>
        <v>211863.81543772103</v>
      </c>
      <c r="K240" s="65">
        <f t="shared" ref="K240" si="16">SUM(K236:K239)</f>
        <v>207506.18554135266</v>
      </c>
      <c r="L240" s="65">
        <f t="shared" ref="L240" si="17">SUM(L236:L239)</f>
        <v>203238.18368398893</v>
      </c>
      <c r="M240" s="65">
        <f t="shared" ref="M240" si="18">SUM(M236:M239)</f>
        <v>199057.96638980307</v>
      </c>
      <c r="N240" s="65">
        <f t="shared" ref="N240" si="19">SUM(N236:N239)</f>
        <v>194963.7280997092</v>
      </c>
      <c r="O240" s="65">
        <f t="shared" ref="O240" si="20">SUM(O236:O239)</f>
        <v>190953.70039148795</v>
      </c>
      <c r="P240" s="65">
        <f t="shared" ref="P240" si="21">SUM(P236:P239)</f>
        <v>187026.151215953</v>
      </c>
      <c r="Q240" s="65">
        <f>SUM(Q236:Q239)</f>
        <v>3144579.4278882076</v>
      </c>
    </row>
    <row r="242" spans="2:8" x14ac:dyDescent="0.25">
      <c r="D242" s="50" t="s">
        <v>84</v>
      </c>
      <c r="E242" s="51">
        <f>SUM(D236:Q237)</f>
        <v>-6041444.7712308923</v>
      </c>
      <c r="G242" s="73" t="s">
        <v>86</v>
      </c>
      <c r="H242" s="74">
        <f>ABS(E243)/ABS(E242)</f>
        <v>1.1079960508560343</v>
      </c>
    </row>
    <row r="243" spans="2:8" x14ac:dyDescent="0.25">
      <c r="D243" s="50" t="s">
        <v>85</v>
      </c>
      <c r="E243" s="51">
        <f>SUM(D238:Q239)</f>
        <v>6693896.9479886657</v>
      </c>
    </row>
    <row r="245" spans="2:8" x14ac:dyDescent="0.25">
      <c r="B245" s="44" t="s">
        <v>64</v>
      </c>
      <c r="C245" s="75" t="s">
        <v>3</v>
      </c>
      <c r="D245" s="75"/>
      <c r="E245" s="76">
        <v>2.1046755104872972E-2</v>
      </c>
    </row>
    <row r="246" spans="2:8" x14ac:dyDescent="0.25">
      <c r="B246" s="44" t="s">
        <v>69</v>
      </c>
      <c r="C246" s="75" t="s">
        <v>82</v>
      </c>
      <c r="D246" s="75"/>
      <c r="E246" s="76">
        <v>3.5159506081013259E-2</v>
      </c>
    </row>
  </sheetData>
  <mergeCells count="110">
    <mergeCell ref="C246:D246"/>
    <mergeCell ref="B227:C227"/>
    <mergeCell ref="B222:C222"/>
    <mergeCell ref="B235:C235"/>
    <mergeCell ref="B236:B237"/>
    <mergeCell ref="B240:C240"/>
    <mergeCell ref="C245:D245"/>
    <mergeCell ref="G209:I211"/>
    <mergeCell ref="D212:E212"/>
    <mergeCell ref="B216:B217"/>
    <mergeCell ref="B223:B224"/>
    <mergeCell ref="B220:C220"/>
    <mergeCell ref="B209:C209"/>
    <mergeCell ref="D209:E209"/>
    <mergeCell ref="B210:C210"/>
    <mergeCell ref="D210:E210"/>
    <mergeCell ref="D211:E211"/>
    <mergeCell ref="B211:C211"/>
    <mergeCell ref="B198:C198"/>
    <mergeCell ref="B191:C191"/>
    <mergeCell ref="B194:C194"/>
    <mergeCell ref="B197:C197"/>
    <mergeCell ref="G191:H191"/>
    <mergeCell ref="G196:H196"/>
    <mergeCell ref="B192:C192"/>
    <mergeCell ref="B193:C193"/>
    <mergeCell ref="B195:C195"/>
    <mergeCell ref="B196:C196"/>
    <mergeCell ref="B174:M181"/>
    <mergeCell ref="B182:M184"/>
    <mergeCell ref="B202:M207"/>
    <mergeCell ref="B186:C186"/>
    <mergeCell ref="D186:E186"/>
    <mergeCell ref="D187:E187"/>
    <mergeCell ref="B187:C187"/>
    <mergeCell ref="B189:C189"/>
    <mergeCell ref="B190:C190"/>
    <mergeCell ref="B163:M164"/>
    <mergeCell ref="E166:G166"/>
    <mergeCell ref="E167:G167"/>
    <mergeCell ref="D169:J169"/>
    <mergeCell ref="D170:J170"/>
    <mergeCell ref="D171:J171"/>
    <mergeCell ref="B153:M154"/>
    <mergeCell ref="E156:G156"/>
    <mergeCell ref="E157:G157"/>
    <mergeCell ref="D159:J159"/>
    <mergeCell ref="D160:J160"/>
    <mergeCell ref="D161:J161"/>
    <mergeCell ref="E146:G146"/>
    <mergeCell ref="E147:G147"/>
    <mergeCell ref="D150:J150"/>
    <mergeCell ref="D151:J151"/>
    <mergeCell ref="D149:J149"/>
    <mergeCell ref="E137:G137"/>
    <mergeCell ref="E136:G136"/>
    <mergeCell ref="D139:J139"/>
    <mergeCell ref="D140:J140"/>
    <mergeCell ref="D141:J141"/>
    <mergeCell ref="B143:M144"/>
    <mergeCell ref="B133:M134"/>
    <mergeCell ref="B117:C117"/>
    <mergeCell ref="B119:M119"/>
    <mergeCell ref="E121:F121"/>
    <mergeCell ref="B124:M126"/>
    <mergeCell ref="B106:M108"/>
    <mergeCell ref="B110:C110"/>
    <mergeCell ref="B111:C111"/>
    <mergeCell ref="B112:C112"/>
    <mergeCell ref="B114:C114"/>
    <mergeCell ref="B115:C115"/>
    <mergeCell ref="B97:C97"/>
    <mergeCell ref="B98:C98"/>
    <mergeCell ref="B99:C99"/>
    <mergeCell ref="B101:C101"/>
    <mergeCell ref="B102:C102"/>
    <mergeCell ref="B104:C104"/>
    <mergeCell ref="B61:M63"/>
    <mergeCell ref="B70:M72"/>
    <mergeCell ref="B79:M81"/>
    <mergeCell ref="B88:M88"/>
    <mergeCell ref="E90:F90"/>
    <mergeCell ref="B93:M95"/>
    <mergeCell ref="B42:M42"/>
    <mergeCell ref="E39:F39"/>
    <mergeCell ref="E44:F44"/>
    <mergeCell ref="B47:M47"/>
    <mergeCell ref="E49:F49"/>
    <mergeCell ref="B52:M54"/>
    <mergeCell ref="B31:C31"/>
    <mergeCell ref="B32:C32"/>
    <mergeCell ref="B34:C34"/>
    <mergeCell ref="B37:M37"/>
    <mergeCell ref="B21:C21"/>
    <mergeCell ref="B23:M25"/>
    <mergeCell ref="B27:C27"/>
    <mergeCell ref="B28:C28"/>
    <mergeCell ref="B29:C29"/>
    <mergeCell ref="B10:M12"/>
    <mergeCell ref="B16:C16"/>
    <mergeCell ref="B14:C14"/>
    <mergeCell ref="B15:C15"/>
    <mergeCell ref="B18:C18"/>
    <mergeCell ref="B19:C19"/>
    <mergeCell ref="B2:K2"/>
    <mergeCell ref="B4:D4"/>
    <mergeCell ref="B5:D5"/>
    <mergeCell ref="B6:D6"/>
    <mergeCell ref="B7:D7"/>
    <mergeCell ref="G5:I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dcterms:created xsi:type="dcterms:W3CDTF">2021-06-08T01:49:33Z</dcterms:created>
  <dcterms:modified xsi:type="dcterms:W3CDTF">2021-06-08T04:08:23Z</dcterms:modified>
</cp:coreProperties>
</file>