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anti\Desktop\"/>
    </mc:Choice>
  </mc:AlternateContent>
  <xr:revisionPtr revIDLastSave="0" documentId="13_ncr:1_{70D7894E-BF0A-4A34-9F21-947C5D247816}" xr6:coauthVersionLast="45" xr6:coauthVersionMax="45" xr10:uidLastSave="{00000000-0000-0000-0000-000000000000}"/>
  <bookViews>
    <workbookView xWindow="-120" yWindow="-120" windowWidth="20730" windowHeight="11160" xr2:uid="{E000998C-C25B-4022-9EB6-BDD1E455C02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5" i="1" l="1"/>
  <c r="J6" i="1"/>
  <c r="D38" i="1"/>
  <c r="G38" i="1" s="1"/>
  <c r="D36" i="1"/>
  <c r="G36" i="1" s="1"/>
  <c r="G5" i="1"/>
  <c r="G17" i="1"/>
  <c r="G18" i="1" s="1"/>
  <c r="C18" i="1" s="1"/>
  <c r="J17" i="1" s="1"/>
  <c r="H12" i="1"/>
  <c r="F30" i="1"/>
  <c r="E29" i="1"/>
  <c r="F29" i="1"/>
  <c r="G29" i="1" s="1"/>
  <c r="G30" i="1" s="1"/>
  <c r="F32" i="1" l="1"/>
  <c r="G40" i="1"/>
  <c r="C30" i="1"/>
  <c r="E30" i="1" s="1"/>
  <c r="D30" i="1" s="1"/>
  <c r="F37" i="1" s="1"/>
  <c r="F40" i="1" s="1"/>
  <c r="D40" i="1"/>
  <c r="D29" i="1"/>
  <c r="E32" i="1" l="1"/>
  <c r="D32" i="1"/>
  <c r="E37" i="1"/>
  <c r="E40" i="1" s="1"/>
  <c r="D43" i="1" l="1"/>
  <c r="D42" i="1"/>
</calcChain>
</file>

<file path=xl/sharedStrings.xml><?xml version="1.0" encoding="utf-8"?>
<sst xmlns="http://schemas.openxmlformats.org/spreadsheetml/2006/main" count="45" uniqueCount="40">
  <si>
    <t>A</t>
  </si>
  <si>
    <t>Disponer ese dinero en un plazo fijo por 1 año, sabiendo que las tasas de interés compuesto ofrecidas por el banco son del 18% semestral para el primer semestre, y del 3.2% mensual para el segundo semestre.</t>
  </si>
  <si>
    <t>Tasa 1</t>
  </si>
  <si>
    <t>semestral</t>
  </si>
  <si>
    <t>Tasa 2</t>
  </si>
  <si>
    <t>mensual</t>
  </si>
  <si>
    <t>C0</t>
  </si>
  <si>
    <t>Tasa anual</t>
  </si>
  <si>
    <t>Cf1</t>
  </si>
  <si>
    <t>Cf2</t>
  </si>
  <si>
    <t>Comprar los libros de estudio que necesitará dentro de un año para las materias que prevé cursar, sabiendo que posiblemente el precio de los mismos aumente según la inflación (estimada en un 2,5 % mensual para el plazo considerado de un año).</t>
  </si>
  <si>
    <t>B</t>
  </si>
  <si>
    <t>Tasa inflacion</t>
  </si>
  <si>
    <t>Tasa anual equivalente</t>
  </si>
  <si>
    <t>C</t>
  </si>
  <si>
    <t>Comprar divisas extranjeras. Se sabe que el valor del dólar al momento de la compra es de 95$/USD, y se estima que dentro de un año el mismo tendrá un valor de $137/USD.</t>
  </si>
  <si>
    <t>Estima que, para poder iniciar el proyecto, debe realizar una inversión inicial de $400.000. Como sólo tiene $200.000 de ahorros, el resto lo solicitará en un banco, que ofrece una tasa de interés del 60% anual a devolver en 2 cuotas anuales a través del sistema alemán (a pagar a período vencido). Se puede considerar que toda la inversión se realiza al inicio, y que inmediatamente se comenzará a percibir ingresos en el primer período de operación. Los costos estimados se calculan $100.000 anuales, y los ingresos en $330.000 anuales. Considere un periodo de operación de 3 años.</t>
  </si>
  <si>
    <t>D</t>
  </si>
  <si>
    <t xml:space="preserve">1 dólar </t>
  </si>
  <si>
    <t>Cf</t>
  </si>
  <si>
    <t xml:space="preserve">Tasa anual </t>
  </si>
  <si>
    <t>Inversion</t>
  </si>
  <si>
    <t>Tasa de Interés:</t>
  </si>
  <si>
    <t>Período</t>
  </si>
  <si>
    <t>Deuda al Inicio del Período (Vp)</t>
  </si>
  <si>
    <t>Valor Cuota (C)</t>
  </si>
  <si>
    <t>Interés del Período Sobre el Saldo (Ip)</t>
  </si>
  <si>
    <t>Amortización real del Período (Ap)</t>
  </si>
  <si>
    <t>Tot. Amort. hasta el Período (Ap)</t>
  </si>
  <si>
    <t>TOTAL</t>
  </si>
  <si>
    <t>anual</t>
  </si>
  <si>
    <t xml:space="preserve">Costos </t>
  </si>
  <si>
    <t>Ingresos</t>
  </si>
  <si>
    <t>Cuotas</t>
  </si>
  <si>
    <t>Egresos</t>
  </si>
  <si>
    <t>Credito</t>
  </si>
  <si>
    <t>FF</t>
  </si>
  <si>
    <t>TIR</t>
  </si>
  <si>
    <t>VAN</t>
  </si>
  <si>
    <t>FINANCIERAMENTE CONVIENE LA ALTERNATIVA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</si>
</sst>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9" formatCode="0.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rgb="FF333333"/>
      <name val="Calibri"/>
      <family val="2"/>
      <scheme val="minor"/>
    </font>
    <font>
      <sz val="8"/>
      <name val="Calibri"/>
      <family val="2"/>
      <scheme val="minor"/>
    </font>
    <font>
      <b/>
      <i/>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0" fontId="0" fillId="0" borderId="0" xfId="0" applyAlignment="1">
      <alignment horizontal="center"/>
    </xf>
    <xf numFmtId="0" fontId="0" fillId="0" borderId="0" xfId="0" applyAlignment="1">
      <alignment horizontal="left" wrapText="1"/>
    </xf>
    <xf numFmtId="0" fontId="0" fillId="0" borderId="0" xfId="0" applyAlignment="1">
      <alignment wrapText="1"/>
    </xf>
    <xf numFmtId="0" fontId="3" fillId="0" borderId="0" xfId="0" applyFont="1" applyAlignment="1">
      <alignment horizontal="left" wrapText="1"/>
    </xf>
    <xf numFmtId="9" fontId="0" fillId="0" borderId="0" xfId="0" applyNumberFormat="1" applyAlignment="1">
      <alignment horizontal="center"/>
    </xf>
    <xf numFmtId="10" fontId="0" fillId="0" borderId="0" xfId="0" applyNumberFormat="1" applyAlignment="1">
      <alignment horizontal="center"/>
    </xf>
    <xf numFmtId="10" fontId="0" fillId="0" borderId="0" xfId="2" applyNumberFormat="1" applyFont="1" applyAlignment="1">
      <alignment horizontal="center"/>
    </xf>
    <xf numFmtId="0" fontId="0" fillId="0" borderId="1" xfId="0" applyBorder="1" applyAlignment="1">
      <alignment horizontal="center"/>
    </xf>
    <xf numFmtId="10" fontId="0" fillId="0" borderId="1" xfId="2" applyNumberFormat="1" applyFont="1" applyBorder="1" applyAlignment="1">
      <alignment horizontal="center"/>
    </xf>
    <xf numFmtId="0" fontId="5" fillId="0" borderId="0" xfId="0" applyFont="1" applyAlignment="1">
      <alignment horizontal="right"/>
    </xf>
    <xf numFmtId="169" fontId="0" fillId="0" borderId="0" xfId="2" applyNumberFormat="1" applyFont="1"/>
    <xf numFmtId="0" fontId="0" fillId="0" borderId="1" xfId="0" applyBorder="1" applyAlignment="1">
      <alignment horizontal="center"/>
    </xf>
    <xf numFmtId="0" fontId="0" fillId="2" borderId="1" xfId="0" applyFill="1" applyBorder="1" applyAlignment="1">
      <alignment horizontal="right"/>
    </xf>
    <xf numFmtId="44" fontId="0" fillId="2" borderId="1" xfId="1" applyFont="1" applyFill="1" applyBorder="1" applyAlignment="1"/>
    <xf numFmtId="0" fontId="0" fillId="0" borderId="1" xfId="0" applyBorder="1" applyAlignment="1">
      <alignment horizontal="right"/>
    </xf>
    <xf numFmtId="44" fontId="0" fillId="0" borderId="1" xfId="1" applyFont="1" applyFill="1" applyBorder="1" applyAlignment="1">
      <alignment horizontal="left"/>
    </xf>
    <xf numFmtId="0" fontId="0" fillId="0" borderId="1" xfId="0" applyBorder="1"/>
    <xf numFmtId="0" fontId="0" fillId="3" borderId="1" xfId="0" applyFill="1" applyBorder="1" applyAlignment="1">
      <alignment horizontal="right"/>
    </xf>
    <xf numFmtId="44" fontId="0" fillId="3" borderId="1" xfId="1" applyFont="1" applyFill="1" applyBorder="1" applyAlignment="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9" fontId="6" fillId="3" borderId="2"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wrapText="1"/>
    </xf>
    <xf numFmtId="0" fontId="0" fillId="0" borderId="7" xfId="0" applyBorder="1" applyAlignment="1">
      <alignment horizontal="center"/>
    </xf>
    <xf numFmtId="0" fontId="2" fillId="0" borderId="1" xfId="0" applyFont="1" applyBorder="1" applyAlignment="1">
      <alignment horizontal="center" vertical="center"/>
    </xf>
    <xf numFmtId="2" fontId="0" fillId="0" borderId="1" xfId="0" applyNumberFormat="1" applyBorder="1" applyAlignment="1">
      <alignment horizontal="center"/>
    </xf>
    <xf numFmtId="1" fontId="0" fillId="0" borderId="1" xfId="0" applyNumberFormat="1" applyBorder="1" applyAlignment="1">
      <alignment horizontal="center"/>
    </xf>
    <xf numFmtId="0" fontId="0" fillId="0" borderId="1" xfId="0" applyBorder="1" applyAlignment="1">
      <alignment horizontal="center" vertical="center"/>
    </xf>
    <xf numFmtId="0" fontId="0" fillId="0" borderId="1" xfId="0" applyFill="1" applyBorder="1" applyAlignment="1">
      <alignment horizontal="center"/>
    </xf>
    <xf numFmtId="9" fontId="0" fillId="0" borderId="1" xfId="0" applyNumberFormat="1" applyBorder="1" applyAlignment="1">
      <alignment horizontal="center"/>
    </xf>
    <xf numFmtId="0" fontId="5" fillId="3" borderId="0" xfId="0" applyFont="1" applyFill="1" applyAlignment="1">
      <alignment horizontal="center" vertical="center"/>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4689B-14BE-4F43-B7F4-D4243B4F4315}">
  <dimension ref="A2:O43"/>
  <sheetViews>
    <sheetView tabSelected="1" topLeftCell="A34" workbookViewId="0">
      <selection activeCell="J6" sqref="J6"/>
    </sheetView>
  </sheetViews>
  <sheetFormatPr baseColWidth="10" defaultRowHeight="15" x14ac:dyDescent="0.25"/>
  <cols>
    <col min="3" max="3" width="13" bestFit="1" customWidth="1"/>
    <col min="4" max="4" width="13.85546875" customWidth="1"/>
  </cols>
  <sheetData>
    <row r="2" spans="1:15" x14ac:dyDescent="0.25">
      <c r="A2" s="10" t="s">
        <v>0</v>
      </c>
      <c r="B2" s="4" t="s">
        <v>1</v>
      </c>
      <c r="C2" s="4"/>
      <c r="D2" s="4"/>
      <c r="E2" s="4"/>
      <c r="F2" s="4"/>
      <c r="G2" s="4"/>
      <c r="H2" s="4"/>
      <c r="I2" s="4"/>
      <c r="J2" s="4"/>
      <c r="K2" s="4"/>
      <c r="L2" s="4"/>
      <c r="M2" s="4"/>
      <c r="N2" s="4"/>
      <c r="O2" s="4"/>
    </row>
    <row r="3" spans="1:15" x14ac:dyDescent="0.25">
      <c r="B3" s="4"/>
      <c r="C3" s="4"/>
      <c r="D3" s="4"/>
      <c r="E3" s="4"/>
      <c r="F3" s="4"/>
      <c r="G3" s="4"/>
      <c r="H3" s="4"/>
      <c r="I3" s="4"/>
      <c r="J3" s="4"/>
      <c r="K3" s="4"/>
      <c r="L3" s="4"/>
      <c r="M3" s="4"/>
      <c r="N3" s="4"/>
      <c r="O3" s="4"/>
    </row>
    <row r="5" spans="1:15" x14ac:dyDescent="0.25">
      <c r="B5" s="1" t="s">
        <v>2</v>
      </c>
      <c r="C5" s="5">
        <v>0.18</v>
      </c>
      <c r="D5" t="s">
        <v>3</v>
      </c>
      <c r="F5" s="8" t="s">
        <v>7</v>
      </c>
      <c r="G5" s="9">
        <f>(((1+C5)^(1))*((1+C6)^6))-1</f>
        <v>0.42547692342759369</v>
      </c>
      <c r="I5" s="8" t="s">
        <v>8</v>
      </c>
      <c r="J5" s="8">
        <f>C7*(1+C5)^1</f>
        <v>236000</v>
      </c>
      <c r="L5" s="11"/>
    </row>
    <row r="6" spans="1:15" x14ac:dyDescent="0.25">
      <c r="B6" s="1" t="s">
        <v>4</v>
      </c>
      <c r="C6" s="6">
        <v>3.2000000000000001E-2</v>
      </c>
      <c r="D6" t="s">
        <v>5</v>
      </c>
      <c r="I6" s="8" t="s">
        <v>9</v>
      </c>
      <c r="J6" s="8">
        <f>J5*(1+C6)^6</f>
        <v>285095.38468551874</v>
      </c>
    </row>
    <row r="7" spans="1:15" x14ac:dyDescent="0.25">
      <c r="B7" s="1" t="s">
        <v>6</v>
      </c>
      <c r="C7" s="1">
        <v>200000</v>
      </c>
    </row>
    <row r="9" spans="1:15" x14ac:dyDescent="0.25">
      <c r="A9" s="10" t="s">
        <v>11</v>
      </c>
      <c r="B9" s="2" t="s">
        <v>10</v>
      </c>
      <c r="C9" s="2"/>
      <c r="D9" s="2"/>
      <c r="E9" s="2"/>
      <c r="F9" s="2"/>
      <c r="G9" s="2"/>
      <c r="H9" s="2"/>
      <c r="I9" s="2"/>
      <c r="J9" s="2"/>
      <c r="K9" s="2"/>
      <c r="L9" s="2"/>
      <c r="M9" s="2"/>
      <c r="N9" s="2"/>
      <c r="O9" s="2"/>
    </row>
    <row r="10" spans="1:15" x14ac:dyDescent="0.25">
      <c r="B10" s="2"/>
      <c r="C10" s="2"/>
      <c r="D10" s="2"/>
      <c r="E10" s="2"/>
      <c r="F10" s="2"/>
      <c r="G10" s="2"/>
      <c r="H10" s="2"/>
      <c r="I10" s="2"/>
      <c r="J10" s="2"/>
      <c r="K10" s="2"/>
      <c r="L10" s="2"/>
      <c r="M10" s="2"/>
      <c r="N10" s="2"/>
      <c r="O10" s="2"/>
    </row>
    <row r="12" spans="1:15" x14ac:dyDescent="0.25">
      <c r="B12" s="1" t="s">
        <v>12</v>
      </c>
      <c r="C12" s="6">
        <v>2.5000000000000001E-2</v>
      </c>
      <c r="D12" t="s">
        <v>5</v>
      </c>
      <c r="F12" s="12" t="s">
        <v>13</v>
      </c>
      <c r="G12" s="12"/>
      <c r="H12" s="9">
        <f>((1+C12)^(12/1))-1</f>
        <v>0.34488882424629752</v>
      </c>
    </row>
    <row r="13" spans="1:15" x14ac:dyDescent="0.25">
      <c r="B13" s="1" t="s">
        <v>6</v>
      </c>
      <c r="C13" s="1">
        <v>200000</v>
      </c>
    </row>
    <row r="15" spans="1:15" ht="15" customHeight="1" x14ac:dyDescent="0.25">
      <c r="A15" s="10" t="s">
        <v>14</v>
      </c>
      <c r="B15" s="2" t="s">
        <v>15</v>
      </c>
      <c r="C15" s="2"/>
      <c r="D15" s="2"/>
      <c r="E15" s="2"/>
      <c r="F15" s="2"/>
      <c r="G15" s="2"/>
      <c r="H15" s="2"/>
      <c r="I15" s="2"/>
      <c r="J15" s="2"/>
      <c r="K15" s="2"/>
      <c r="L15" s="2"/>
      <c r="M15" s="2"/>
      <c r="N15" s="2"/>
      <c r="O15" s="2"/>
    </row>
    <row r="16" spans="1:15" x14ac:dyDescent="0.25">
      <c r="B16" s="3"/>
      <c r="C16" s="3"/>
      <c r="D16" s="3"/>
      <c r="E16" s="3"/>
      <c r="F16" s="3"/>
      <c r="G16" s="3"/>
      <c r="H16" s="3"/>
      <c r="I16" s="3"/>
      <c r="J16" s="3"/>
      <c r="K16" s="3"/>
      <c r="L16" s="3"/>
      <c r="M16" s="3"/>
      <c r="N16" s="3"/>
      <c r="O16" s="3"/>
    </row>
    <row r="17" spans="1:15" x14ac:dyDescent="0.25">
      <c r="B17" s="13" t="s">
        <v>6</v>
      </c>
      <c r="C17" s="14">
        <v>200000</v>
      </c>
      <c r="E17" s="15" t="s">
        <v>18</v>
      </c>
      <c r="F17" s="16">
        <v>95</v>
      </c>
      <c r="G17" s="17">
        <f>C17/F17</f>
        <v>2105.2631578947367</v>
      </c>
      <c r="I17" s="8" t="s">
        <v>20</v>
      </c>
      <c r="J17" s="9">
        <f>(C18/C17)-1</f>
        <v>0.44210526315789456</v>
      </c>
    </row>
    <row r="18" spans="1:15" x14ac:dyDescent="0.25">
      <c r="B18" s="18" t="s">
        <v>19</v>
      </c>
      <c r="C18" s="19">
        <f>F18*G18</f>
        <v>288421.05263157893</v>
      </c>
      <c r="E18" s="15" t="s">
        <v>18</v>
      </c>
      <c r="F18" s="16">
        <v>137</v>
      </c>
      <c r="G18" s="17">
        <f>G17</f>
        <v>2105.2631578947367</v>
      </c>
    </row>
    <row r="19" spans="1:15" x14ac:dyDescent="0.25">
      <c r="E19" s="1"/>
      <c r="F19" s="1"/>
    </row>
    <row r="20" spans="1:15" x14ac:dyDescent="0.25">
      <c r="H20" s="1"/>
      <c r="I20" s="7"/>
    </row>
    <row r="22" spans="1:15" x14ac:dyDescent="0.25">
      <c r="A22" s="10" t="s">
        <v>17</v>
      </c>
      <c r="B22" s="2" t="s">
        <v>16</v>
      </c>
      <c r="C22" s="2"/>
      <c r="D22" s="2"/>
      <c r="E22" s="2"/>
      <c r="F22" s="2"/>
      <c r="G22" s="2"/>
      <c r="H22" s="2"/>
      <c r="I22" s="2"/>
      <c r="J22" s="2"/>
      <c r="K22" s="2"/>
      <c r="L22" s="2"/>
      <c r="M22" s="2"/>
      <c r="N22" s="2"/>
      <c r="O22" s="2"/>
    </row>
    <row r="23" spans="1:15" x14ac:dyDescent="0.25">
      <c r="B23" s="2"/>
      <c r="C23" s="2"/>
      <c r="D23" s="2"/>
      <c r="E23" s="2"/>
      <c r="F23" s="2"/>
      <c r="G23" s="2"/>
      <c r="H23" s="2"/>
      <c r="I23" s="2"/>
      <c r="J23" s="2"/>
      <c r="K23" s="2"/>
      <c r="L23" s="2"/>
      <c r="M23" s="2"/>
      <c r="N23" s="2"/>
      <c r="O23" s="2"/>
    </row>
    <row r="24" spans="1:15" x14ac:dyDescent="0.25">
      <c r="B24" s="2"/>
      <c r="C24" s="2"/>
      <c r="D24" s="2"/>
      <c r="E24" s="2"/>
      <c r="F24" s="2"/>
      <c r="G24" s="2"/>
      <c r="H24" s="2"/>
      <c r="I24" s="2"/>
      <c r="J24" s="2"/>
      <c r="K24" s="2"/>
      <c r="L24" s="2"/>
      <c r="M24" s="2"/>
      <c r="N24" s="2"/>
      <c r="O24" s="2"/>
    </row>
    <row r="25" spans="1:15" x14ac:dyDescent="0.25">
      <c r="B25" s="2"/>
      <c r="C25" s="2"/>
      <c r="D25" s="2"/>
      <c r="E25" s="2"/>
      <c r="F25" s="2"/>
      <c r="G25" s="2"/>
      <c r="H25" s="2"/>
      <c r="I25" s="2"/>
      <c r="J25" s="2"/>
      <c r="K25" s="2"/>
      <c r="L25" s="2"/>
      <c r="M25" s="2"/>
      <c r="N25" s="2"/>
      <c r="O25" s="2"/>
    </row>
    <row r="27" spans="1:15" x14ac:dyDescent="0.25">
      <c r="B27" s="20" t="s">
        <v>22</v>
      </c>
      <c r="C27" s="21"/>
      <c r="D27" s="22">
        <v>0.6</v>
      </c>
      <c r="E27" s="23" t="s">
        <v>30</v>
      </c>
      <c r="F27" s="24"/>
      <c r="G27" s="24"/>
    </row>
    <row r="28" spans="1:15" ht="60" x14ac:dyDescent="0.25">
      <c r="B28" s="25" t="s">
        <v>23</v>
      </c>
      <c r="C28" s="25" t="s">
        <v>24</v>
      </c>
      <c r="D28" s="25" t="s">
        <v>25</v>
      </c>
      <c r="E28" s="26" t="s">
        <v>26</v>
      </c>
      <c r="F28" s="26" t="s">
        <v>27</v>
      </c>
      <c r="G28" s="26" t="s">
        <v>28</v>
      </c>
    </row>
    <row r="29" spans="1:15" x14ac:dyDescent="0.25">
      <c r="B29" s="27">
        <v>1</v>
      </c>
      <c r="C29" s="28">
        <v>200000</v>
      </c>
      <c r="D29" s="28">
        <f>F29+E29</f>
        <v>220000</v>
      </c>
      <c r="E29" s="28">
        <f>C29*D27</f>
        <v>120000</v>
      </c>
      <c r="F29" s="28">
        <f>$C$29/2</f>
        <v>100000</v>
      </c>
      <c r="G29" s="28">
        <f>F29</f>
        <v>100000</v>
      </c>
    </row>
    <row r="30" spans="1:15" x14ac:dyDescent="0.25">
      <c r="B30" s="27">
        <v>2</v>
      </c>
      <c r="C30" s="28">
        <f>C29-G29</f>
        <v>100000</v>
      </c>
      <c r="D30" s="28">
        <f>F30+E30</f>
        <v>160000</v>
      </c>
      <c r="E30" s="28">
        <f>C30*D27</f>
        <v>60000</v>
      </c>
      <c r="F30" s="28">
        <f>$C$29/2</f>
        <v>100000</v>
      </c>
      <c r="G30" s="28">
        <f>G29+F30</f>
        <v>200000</v>
      </c>
    </row>
    <row r="31" spans="1:15" x14ac:dyDescent="0.25">
      <c r="B31" s="29"/>
      <c r="C31" s="8"/>
      <c r="D31" s="8"/>
      <c r="E31" s="8"/>
      <c r="F31" s="8"/>
      <c r="G31" s="8"/>
    </row>
    <row r="32" spans="1:15" x14ac:dyDescent="0.25">
      <c r="B32" s="30" t="s">
        <v>29</v>
      </c>
      <c r="C32" s="8"/>
      <c r="D32" s="31">
        <f>SUM(D29:D30)</f>
        <v>380000</v>
      </c>
      <c r="E32" s="31">
        <f>SUM(E29:E30)</f>
        <v>180000</v>
      </c>
      <c r="F32" s="31">
        <f>SUM(F29:F30)</f>
        <v>200000</v>
      </c>
      <c r="G32" s="8"/>
    </row>
    <row r="34" spans="2:15" x14ac:dyDescent="0.25">
      <c r="C34" s="8"/>
      <c r="D34" s="8">
        <v>0</v>
      </c>
      <c r="E34" s="8">
        <v>1</v>
      </c>
      <c r="F34" s="8">
        <v>2</v>
      </c>
      <c r="G34" s="8">
        <v>3</v>
      </c>
    </row>
    <row r="35" spans="2:15" x14ac:dyDescent="0.25">
      <c r="B35" s="33" t="s">
        <v>34</v>
      </c>
      <c r="C35" s="8" t="s">
        <v>21</v>
      </c>
      <c r="D35" s="8">
        <v>-400000</v>
      </c>
      <c r="E35" s="8"/>
      <c r="F35" s="8"/>
      <c r="G35" s="8"/>
    </row>
    <row r="36" spans="2:15" x14ac:dyDescent="0.25">
      <c r="B36" s="33"/>
      <c r="C36" s="8" t="s">
        <v>31</v>
      </c>
      <c r="D36" s="8">
        <f>E36*0.5</f>
        <v>-50000</v>
      </c>
      <c r="E36" s="8">
        <v>-100000</v>
      </c>
      <c r="F36" s="8">
        <v>-100000</v>
      </c>
      <c r="G36" s="8">
        <f>D36</f>
        <v>-50000</v>
      </c>
    </row>
    <row r="37" spans="2:15" x14ac:dyDescent="0.25">
      <c r="B37" s="33"/>
      <c r="C37" s="8" t="s">
        <v>33</v>
      </c>
      <c r="D37" s="8"/>
      <c r="E37" s="32">
        <f>-D29</f>
        <v>-220000</v>
      </c>
      <c r="F37" s="31">
        <f>-D30</f>
        <v>-160000</v>
      </c>
      <c r="G37" s="8"/>
    </row>
    <row r="38" spans="2:15" x14ac:dyDescent="0.25">
      <c r="B38" s="33" t="s">
        <v>32</v>
      </c>
      <c r="C38" s="8" t="s">
        <v>32</v>
      </c>
      <c r="D38" s="8">
        <f>E38*0.5</f>
        <v>165000</v>
      </c>
      <c r="E38" s="8">
        <v>330000</v>
      </c>
      <c r="F38" s="8">
        <v>330000</v>
      </c>
      <c r="G38" s="8">
        <f>D38</f>
        <v>165000</v>
      </c>
    </row>
    <row r="39" spans="2:15" x14ac:dyDescent="0.25">
      <c r="B39" s="33"/>
      <c r="C39" s="8" t="s">
        <v>35</v>
      </c>
      <c r="D39" s="8">
        <v>200000</v>
      </c>
      <c r="E39" s="8"/>
      <c r="F39" s="8"/>
      <c r="G39" s="8"/>
    </row>
    <row r="40" spans="2:15" x14ac:dyDescent="0.25">
      <c r="C40" s="8" t="s">
        <v>36</v>
      </c>
      <c r="D40" s="8">
        <f>SUM(D35:D39)</f>
        <v>-85000</v>
      </c>
      <c r="E40" s="8">
        <f>SUM(E35:E38)</f>
        <v>10000</v>
      </c>
      <c r="F40" s="8">
        <f>SUM(F35:F38)</f>
        <v>70000</v>
      </c>
      <c r="G40" s="8">
        <f>SUM(G35:G38)</f>
        <v>115000</v>
      </c>
    </row>
    <row r="41" spans="2:15" x14ac:dyDescent="0.25">
      <c r="L41" s="36" t="s">
        <v>39</v>
      </c>
      <c r="M41" s="36"/>
      <c r="N41" s="36"/>
      <c r="O41" s="36"/>
    </row>
    <row r="42" spans="2:15" x14ac:dyDescent="0.25">
      <c r="C42" s="34" t="s">
        <v>37</v>
      </c>
      <c r="D42" s="35">
        <f>IRR(D40:G40)</f>
        <v>0.39840497147005571</v>
      </c>
      <c r="L42" s="36"/>
      <c r="M42" s="36"/>
      <c r="N42" s="36"/>
      <c r="O42" s="36"/>
    </row>
    <row r="43" spans="2:15" x14ac:dyDescent="0.25">
      <c r="C43" s="34" t="s">
        <v>38</v>
      </c>
      <c r="D43" s="31">
        <f>(NPV(J17,E40:G40))+D40</f>
        <v>-6061.6259222284571</v>
      </c>
    </row>
  </sheetData>
  <mergeCells count="9">
    <mergeCell ref="B27:C27"/>
    <mergeCell ref="B38:B39"/>
    <mergeCell ref="B35:B37"/>
    <mergeCell ref="L41:O42"/>
    <mergeCell ref="F12:G12"/>
    <mergeCell ref="B15:O15"/>
    <mergeCell ref="B22:O25"/>
    <mergeCell ref="B2:O3"/>
    <mergeCell ref="B9:O10"/>
  </mergeCells>
  <phoneticPr fontId="4" type="noConversion"/>
  <pageMargins left="0.7" right="0.7" top="0.75" bottom="0.75" header="0.3" footer="0.3"/>
  <pageSetup paperSize="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Bargas</dc:creator>
  <cp:lastModifiedBy>Santiago Bargas</cp:lastModifiedBy>
  <cp:lastPrinted>2021-06-08T22:33:57Z</cp:lastPrinted>
  <dcterms:created xsi:type="dcterms:W3CDTF">2021-06-08T21:22:55Z</dcterms:created>
  <dcterms:modified xsi:type="dcterms:W3CDTF">2021-06-08T22:35:01Z</dcterms:modified>
</cp:coreProperties>
</file>