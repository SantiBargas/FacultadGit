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esktop\4 AÑO IARA\Economia y costos\"/>
    </mc:Choice>
  </mc:AlternateContent>
  <xr:revisionPtr revIDLastSave="0" documentId="13_ncr:1_{72153C43-3FFE-4D76-8A2F-14DE794FF86F}" xr6:coauthVersionLast="45" xr6:coauthVersionMax="45" xr10:uidLastSave="{00000000-0000-0000-0000-000000000000}"/>
  <bookViews>
    <workbookView xWindow="0" yWindow="0" windowWidth="20490" windowHeight="10920" activeTab="5" xr2:uid="{C6A6815C-5DB6-4123-874E-67396274F491}"/>
  </bookViews>
  <sheets>
    <sheet name="15 meses" sheetId="3" r:id="rId1"/>
    <sheet name="anual (15)" sheetId="2" r:id="rId2"/>
    <sheet name="18 meses" sheetId="5" r:id="rId3"/>
    <sheet name="anual (18)" sheetId="6" r:id="rId4"/>
    <sheet name="15 meses1" sheetId="7" r:id="rId5"/>
    <sheet name="anual (15)1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7" l="1"/>
  <c r="L19" i="8"/>
  <c r="L16" i="8"/>
  <c r="K16" i="8"/>
  <c r="J16" i="8"/>
  <c r="L8" i="8"/>
  <c r="L9" i="8"/>
  <c r="L10" i="8"/>
  <c r="L11" i="8"/>
  <c r="L12" i="8"/>
  <c r="L13" i="8"/>
  <c r="L14" i="8"/>
  <c r="L15" i="8"/>
  <c r="L7" i="8"/>
  <c r="J8" i="8"/>
  <c r="J9" i="8"/>
  <c r="J10" i="8"/>
  <c r="J11" i="8"/>
  <c r="J12" i="8"/>
  <c r="J13" i="8"/>
  <c r="J14" i="8"/>
  <c r="J15" i="8"/>
  <c r="G13" i="8"/>
  <c r="G12" i="8"/>
  <c r="G11" i="8"/>
  <c r="G10" i="8"/>
  <c r="G9" i="8"/>
  <c r="G8" i="8"/>
  <c r="G7" i="8"/>
  <c r="F14" i="8"/>
  <c r="F13" i="8"/>
  <c r="F12" i="8"/>
  <c r="G14" i="7"/>
  <c r="G14" i="6"/>
  <c r="E12" i="8"/>
  <c r="E11" i="8"/>
  <c r="A45" i="8"/>
  <c r="A42" i="8"/>
  <c r="A39" i="8"/>
  <c r="A36" i="8"/>
  <c r="A33" i="8"/>
  <c r="A30" i="8"/>
  <c r="N29" i="8"/>
  <c r="M29" i="8" s="1"/>
  <c r="A27" i="8"/>
  <c r="I26" i="8"/>
  <c r="K37" i="8" s="1"/>
  <c r="A24" i="8"/>
  <c r="A21" i="8"/>
  <c r="E20" i="8"/>
  <c r="E21" i="8" s="1"/>
  <c r="E10" i="8" s="1"/>
  <c r="A18" i="8"/>
  <c r="G15" i="8"/>
  <c r="G14" i="8"/>
  <c r="P9" i="8"/>
  <c r="P8" i="8"/>
  <c r="F8" i="8"/>
  <c r="P7" i="8"/>
  <c r="F7" i="8"/>
  <c r="J7" i="8" s="1"/>
  <c r="G4" i="8"/>
  <c r="F4" i="8" s="1"/>
  <c r="L4" i="8" s="1"/>
  <c r="G3" i="8"/>
  <c r="K3" i="8" s="1"/>
  <c r="K37" i="7"/>
  <c r="K16" i="7"/>
  <c r="L8" i="7"/>
  <c r="L9" i="7"/>
  <c r="L10" i="7"/>
  <c r="L11" i="7"/>
  <c r="L13" i="7"/>
  <c r="L14" i="7"/>
  <c r="L15" i="7"/>
  <c r="L7" i="7"/>
  <c r="L4" i="7"/>
  <c r="L3" i="7"/>
  <c r="P8" i="7"/>
  <c r="P9" i="7"/>
  <c r="P7" i="7"/>
  <c r="K4" i="7"/>
  <c r="K3" i="7"/>
  <c r="J8" i="7"/>
  <c r="J9" i="7"/>
  <c r="J10" i="7"/>
  <c r="J11" i="7"/>
  <c r="J12" i="7"/>
  <c r="L12" i="7" s="1"/>
  <c r="L16" i="7" s="1"/>
  <c r="J13" i="7"/>
  <c r="J14" i="7"/>
  <c r="J15" i="7"/>
  <c r="J7" i="7"/>
  <c r="G15" i="7"/>
  <c r="G13" i="7"/>
  <c r="F13" i="7"/>
  <c r="F12" i="7"/>
  <c r="G9" i="7"/>
  <c r="G8" i="7"/>
  <c r="G7" i="7"/>
  <c r="E12" i="7"/>
  <c r="E11" i="7"/>
  <c r="E10" i="7"/>
  <c r="E21" i="7"/>
  <c r="E20" i="7"/>
  <c r="G4" i="7"/>
  <c r="G3" i="7"/>
  <c r="A45" i="7"/>
  <c r="A42" i="7"/>
  <c r="A39" i="7"/>
  <c r="A36" i="7"/>
  <c r="A33" i="7"/>
  <c r="N30" i="7"/>
  <c r="A30" i="7"/>
  <c r="N29" i="7"/>
  <c r="M29" i="7"/>
  <c r="M30" i="7" s="1"/>
  <c r="A27" i="7"/>
  <c r="I26" i="7"/>
  <c r="A24" i="7"/>
  <c r="A21" i="7"/>
  <c r="G10" i="7"/>
  <c r="A18" i="7"/>
  <c r="F14" i="7"/>
  <c r="G11" i="7"/>
  <c r="F8" i="7"/>
  <c r="F7" i="7"/>
  <c r="F4" i="7"/>
  <c r="J16" i="7" l="1"/>
  <c r="K4" i="8"/>
  <c r="F3" i="8"/>
  <c r="L3" i="8" s="1"/>
  <c r="N30" i="8"/>
  <c r="M30" i="8"/>
  <c r="M35" i="8"/>
  <c r="F3" i="7"/>
  <c r="N31" i="7"/>
  <c r="M31" i="7"/>
  <c r="M34" i="7"/>
  <c r="M35" i="7"/>
  <c r="E12" i="2"/>
  <c r="F12" i="2"/>
  <c r="G12" i="2"/>
  <c r="L20" i="3"/>
  <c r="L20" i="2"/>
  <c r="L19" i="6"/>
  <c r="L7" i="5"/>
  <c r="L3" i="5"/>
  <c r="L3" i="6"/>
  <c r="G16" i="2"/>
  <c r="J16" i="2" s="1"/>
  <c r="L16" i="2" s="1"/>
  <c r="P9" i="3"/>
  <c r="P10" i="3"/>
  <c r="P8" i="5"/>
  <c r="P9" i="5"/>
  <c r="P7" i="5"/>
  <c r="L18" i="8" l="1"/>
  <c r="N31" i="8"/>
  <c r="M31" i="8" s="1"/>
  <c r="M34" i="8"/>
  <c r="L18" i="7"/>
  <c r="G10" i="6"/>
  <c r="G11" i="6"/>
  <c r="G9" i="6"/>
  <c r="J12" i="6"/>
  <c r="J7" i="6"/>
  <c r="K3" i="6"/>
  <c r="K4" i="5"/>
  <c r="K3" i="5"/>
  <c r="N21" i="7" l="1"/>
  <c r="M21" i="7" s="1"/>
  <c r="N22" i="7" s="1"/>
  <c r="M22" i="7" s="1"/>
  <c r="N23" i="7" s="1"/>
  <c r="M23" i="7" s="1"/>
  <c r="L19" i="7"/>
  <c r="N21" i="8"/>
  <c r="M21" i="8" s="1"/>
  <c r="N22" i="8" s="1"/>
  <c r="M22" i="8" s="1"/>
  <c r="N23" i="8" s="1"/>
  <c r="M23" i="8" s="1"/>
  <c r="K16" i="6"/>
  <c r="L4" i="6"/>
  <c r="L8" i="6"/>
  <c r="L12" i="6"/>
  <c r="L13" i="6"/>
  <c r="L14" i="6"/>
  <c r="L15" i="6"/>
  <c r="L7" i="6"/>
  <c r="K4" i="6"/>
  <c r="K37" i="6"/>
  <c r="J8" i="6"/>
  <c r="J9" i="6"/>
  <c r="L9" i="6" s="1"/>
  <c r="J10" i="6"/>
  <c r="L10" i="6" s="1"/>
  <c r="J11" i="6"/>
  <c r="L11" i="6" s="1"/>
  <c r="J13" i="6"/>
  <c r="J14" i="6"/>
  <c r="J15" i="6"/>
  <c r="G15" i="6"/>
  <c r="G13" i="6"/>
  <c r="G12" i="6"/>
  <c r="G8" i="6"/>
  <c r="G7" i="6"/>
  <c r="F12" i="6"/>
  <c r="E20" i="5"/>
  <c r="E21" i="5" s="1"/>
  <c r="P9" i="6"/>
  <c r="E11" i="6"/>
  <c r="E12" i="6"/>
  <c r="E13" i="6"/>
  <c r="F13" i="6"/>
  <c r="F14" i="6"/>
  <c r="E20" i="6"/>
  <c r="E21" i="6"/>
  <c r="E10" i="6" s="1"/>
  <c r="I26" i="6"/>
  <c r="N29" i="6"/>
  <c r="M29" i="6" s="1"/>
  <c r="A45" i="6"/>
  <c r="A42" i="6"/>
  <c r="A39" i="6"/>
  <c r="A36" i="6"/>
  <c r="A33" i="6"/>
  <c r="A30" i="6"/>
  <c r="A27" i="6"/>
  <c r="A24" i="6"/>
  <c r="A21" i="6"/>
  <c r="A18" i="6"/>
  <c r="P8" i="6"/>
  <c r="F8" i="6"/>
  <c r="F7" i="6"/>
  <c r="G4" i="6"/>
  <c r="F4" i="6" s="1"/>
  <c r="G3" i="6"/>
  <c r="F3" i="6"/>
  <c r="A45" i="5"/>
  <c r="A42" i="5"/>
  <c r="A39" i="5"/>
  <c r="A36" i="5"/>
  <c r="A33" i="5"/>
  <c r="A30" i="5"/>
  <c r="A27" i="5"/>
  <c r="A24" i="5"/>
  <c r="A21" i="5"/>
  <c r="A18" i="5"/>
  <c r="A46" i="3"/>
  <c r="A43" i="3"/>
  <c r="A40" i="3"/>
  <c r="A37" i="3"/>
  <c r="A34" i="3"/>
  <c r="A31" i="3"/>
  <c r="A28" i="3"/>
  <c r="A25" i="3"/>
  <c r="A22" i="3"/>
  <c r="A19" i="3"/>
  <c r="L8" i="5"/>
  <c r="L9" i="5"/>
  <c r="L12" i="5"/>
  <c r="L13" i="5"/>
  <c r="L14" i="5"/>
  <c r="L15" i="5"/>
  <c r="L16" i="6" l="1"/>
  <c r="J16" i="6"/>
  <c r="L18" i="6" s="1"/>
  <c r="M35" i="6"/>
  <c r="N30" i="6"/>
  <c r="M30" i="6"/>
  <c r="P7" i="6"/>
  <c r="M34" i="6" l="1"/>
  <c r="N31" i="6"/>
  <c r="M31" i="6" s="1"/>
  <c r="N21" i="6" l="1"/>
  <c r="M21" i="6" s="1"/>
  <c r="N22" i="6" s="1"/>
  <c r="M22" i="6" s="1"/>
  <c r="N23" i="6" s="1"/>
  <c r="M23" i="6" s="1"/>
  <c r="K37" i="5" l="1"/>
  <c r="M35" i="5"/>
  <c r="M34" i="5"/>
  <c r="M31" i="5"/>
  <c r="M30" i="5"/>
  <c r="M29" i="5"/>
  <c r="N31" i="5"/>
  <c r="N30" i="5"/>
  <c r="N29" i="5"/>
  <c r="K16" i="5"/>
  <c r="L4" i="5"/>
  <c r="J12" i="5"/>
  <c r="J9" i="5"/>
  <c r="J8" i="5"/>
  <c r="J13" i="5"/>
  <c r="J14" i="5"/>
  <c r="J15" i="5"/>
  <c r="J7" i="5"/>
  <c r="G15" i="5"/>
  <c r="G14" i="5"/>
  <c r="G13" i="5"/>
  <c r="G12" i="5"/>
  <c r="G10" i="5"/>
  <c r="J10" i="5" s="1"/>
  <c r="G9" i="5"/>
  <c r="G8" i="5"/>
  <c r="G7" i="5"/>
  <c r="F8" i="5"/>
  <c r="F7" i="5"/>
  <c r="I26" i="5"/>
  <c r="F14" i="5"/>
  <c r="F13" i="5"/>
  <c r="E13" i="5"/>
  <c r="F12" i="5"/>
  <c r="E12" i="5"/>
  <c r="E11" i="5"/>
  <c r="G11" i="5" s="1"/>
  <c r="J11" i="5" s="1"/>
  <c r="L11" i="5" s="1"/>
  <c r="E10" i="5"/>
  <c r="F4" i="5"/>
  <c r="G4" i="5"/>
  <c r="F3" i="5"/>
  <c r="G3" i="5"/>
  <c r="L10" i="5" l="1"/>
  <c r="L16" i="5" s="1"/>
  <c r="J16" i="5"/>
  <c r="G15" i="2"/>
  <c r="L18" i="5" l="1"/>
  <c r="L19" i="5" s="1"/>
  <c r="N21" i="5" l="1"/>
  <c r="M21" i="5" s="1"/>
  <c r="N22" i="5" s="1"/>
  <c r="M22" i="5" s="1"/>
  <c r="H29" i="3"/>
  <c r="M35" i="3" s="1"/>
  <c r="N33" i="3" s="1"/>
  <c r="N26" i="3"/>
  <c r="M26" i="3"/>
  <c r="N26" i="2"/>
  <c r="M26" i="2" s="1"/>
  <c r="H29" i="2"/>
  <c r="M35" i="2" s="1"/>
  <c r="N33" i="2" s="1"/>
  <c r="J9" i="2"/>
  <c r="L9" i="2" s="1"/>
  <c r="J15" i="2"/>
  <c r="L15" i="2" s="1"/>
  <c r="J8" i="2"/>
  <c r="J12" i="2"/>
  <c r="L12" i="2" s="1"/>
  <c r="G9" i="2"/>
  <c r="G8" i="2"/>
  <c r="F10" i="2"/>
  <c r="G10" i="2" s="1"/>
  <c r="J10" i="2" s="1"/>
  <c r="L10" i="2" s="1"/>
  <c r="F14" i="2"/>
  <c r="G14" i="2" s="1"/>
  <c r="J14" i="2" s="1"/>
  <c r="L14" i="2" s="1"/>
  <c r="F13" i="2"/>
  <c r="G13" i="2" s="1"/>
  <c r="J13" i="2" s="1"/>
  <c r="L13" i="2" s="1"/>
  <c r="E11" i="2"/>
  <c r="G11" i="2" s="1"/>
  <c r="J11" i="2" s="1"/>
  <c r="L11" i="2" s="1"/>
  <c r="J9" i="3"/>
  <c r="L9" i="3" s="1"/>
  <c r="J16" i="3"/>
  <c r="L16" i="3" s="1"/>
  <c r="K5" i="3"/>
  <c r="G15" i="3"/>
  <c r="J15" i="3" s="1"/>
  <c r="L15" i="3" s="1"/>
  <c r="F14" i="3"/>
  <c r="G14" i="3" s="1"/>
  <c r="J14" i="3" s="1"/>
  <c r="L14" i="3" s="1"/>
  <c r="F13" i="3"/>
  <c r="G13" i="3" s="1"/>
  <c r="J13" i="3" s="1"/>
  <c r="L13" i="3" s="1"/>
  <c r="E12" i="3"/>
  <c r="F12" i="3" s="1"/>
  <c r="G12" i="3" s="1"/>
  <c r="J12" i="3" s="1"/>
  <c r="L12" i="3" s="1"/>
  <c r="E11" i="3"/>
  <c r="G11" i="3" s="1"/>
  <c r="J11" i="3" s="1"/>
  <c r="L11" i="3" s="1"/>
  <c r="E22" i="3"/>
  <c r="G10" i="3" s="1"/>
  <c r="J10" i="3" s="1"/>
  <c r="L10" i="3" s="1"/>
  <c r="G9" i="3"/>
  <c r="G8" i="3"/>
  <c r="J8" i="3" s="1"/>
  <c r="L8" i="3" s="1"/>
  <c r="E21" i="3"/>
  <c r="P13" i="3"/>
  <c r="P8" i="3" s="1"/>
  <c r="G5" i="3"/>
  <c r="F5" i="3"/>
  <c r="L5" i="3" s="1"/>
  <c r="G4" i="3"/>
  <c r="K4" i="3" s="1"/>
  <c r="F4" i="3"/>
  <c r="L4" i="3" s="1"/>
  <c r="A46" i="2"/>
  <c r="A43" i="2"/>
  <c r="A40" i="2"/>
  <c r="A37" i="2"/>
  <c r="A34" i="2"/>
  <c r="A31" i="2"/>
  <c r="A28" i="2"/>
  <c r="A25" i="2"/>
  <c r="A22" i="2"/>
  <c r="A19" i="2"/>
  <c r="E21" i="2"/>
  <c r="E22" i="2" s="1"/>
  <c r="G5" i="2"/>
  <c r="K5" i="2" s="1"/>
  <c r="F5" i="2"/>
  <c r="L5" i="2" s="1"/>
  <c r="G4" i="2"/>
  <c r="N27" i="2" l="1"/>
  <c r="M27" i="2" s="1"/>
  <c r="M31" i="2"/>
  <c r="L8" i="2"/>
  <c r="J17" i="2"/>
  <c r="F4" i="2"/>
  <c r="L4" i="2" s="1"/>
  <c r="K4" i="2"/>
  <c r="K17" i="2" s="1"/>
  <c r="N23" i="5"/>
  <c r="M23" i="5" s="1"/>
  <c r="N27" i="3"/>
  <c r="M27" i="3" s="1"/>
  <c r="M31" i="3"/>
  <c r="K17" i="3"/>
  <c r="L17" i="3"/>
  <c r="J17" i="3"/>
  <c r="L19" i="3" s="1"/>
  <c r="M30" i="2" l="1"/>
  <c r="N28" i="2"/>
  <c r="M28" i="2" s="1"/>
  <c r="M33" i="2" s="1"/>
  <c r="M30" i="3"/>
  <c r="N28" i="3"/>
  <c r="M28" i="3" s="1"/>
  <c r="M33" i="3" s="1"/>
  <c r="L17" i="2"/>
  <c r="L19" i="2" s="1"/>
</calcChain>
</file>

<file path=xl/sharedStrings.xml><?xml version="1.0" encoding="utf-8"?>
<sst xmlns="http://schemas.openxmlformats.org/spreadsheetml/2006/main" count="421" uniqueCount="69">
  <si>
    <t>Clasificacion de capital</t>
  </si>
  <si>
    <t>VN</t>
  </si>
  <si>
    <t>VA</t>
  </si>
  <si>
    <t>VR</t>
  </si>
  <si>
    <t>VU (DTA)</t>
  </si>
  <si>
    <t>DFP</t>
  </si>
  <si>
    <t>G</t>
  </si>
  <si>
    <t>A</t>
  </si>
  <si>
    <t>COK</t>
  </si>
  <si>
    <t>De explotacion fijo</t>
  </si>
  <si>
    <t xml:space="preserve">Alquiler </t>
  </si>
  <si>
    <t>mes</t>
  </si>
  <si>
    <t>15 meses</t>
  </si>
  <si>
    <t>Pala mecanica</t>
  </si>
  <si>
    <t>Automovil</t>
  </si>
  <si>
    <t>Camion pequeño</t>
  </si>
  <si>
    <t>8/10 hora diarias</t>
  </si>
  <si>
    <t>PVC</t>
  </si>
  <si>
    <t>50 caños/cuadra</t>
  </si>
  <si>
    <t>Demas materiales</t>
  </si>
  <si>
    <t>Mano de obra (20)</t>
  </si>
  <si>
    <t>2 ingenieros</t>
  </si>
  <si>
    <t>Seguros e impuestos</t>
  </si>
  <si>
    <t>Insumos</t>
  </si>
  <si>
    <t>Tasa capital fundiario</t>
  </si>
  <si>
    <t>Tasa capital fijo</t>
  </si>
  <si>
    <t>Tasa capital circulante</t>
  </si>
  <si>
    <t>Gastos indirectos</t>
  </si>
  <si>
    <t>Beneficios empresariales</t>
  </si>
  <si>
    <t>Costos impositivos</t>
  </si>
  <si>
    <t>anual</t>
  </si>
  <si>
    <t>Clasificacion de costos</t>
  </si>
  <si>
    <t>Implicito</t>
  </si>
  <si>
    <t>Fijo</t>
  </si>
  <si>
    <t>Directo</t>
  </si>
  <si>
    <t>De explotacion circulante</t>
  </si>
  <si>
    <t>Tanque</t>
  </si>
  <si>
    <t>12 meses</t>
  </si>
  <si>
    <t>Tasas para 15 meses</t>
  </si>
  <si>
    <t>Tasas anuales</t>
  </si>
  <si>
    <t>Cuadras en proyecto</t>
  </si>
  <si>
    <t>Rotacion</t>
  </si>
  <si>
    <t>C/ gastos generales</t>
  </si>
  <si>
    <t>C/ beneficio empresarial</t>
  </si>
  <si>
    <t>C/ impuestos</t>
  </si>
  <si>
    <t>Coeficiente resumen</t>
  </si>
  <si>
    <t>Costo directo</t>
  </si>
  <si>
    <t>Ganancia</t>
  </si>
  <si>
    <t>Valor de presupuesto final</t>
  </si>
  <si>
    <t xml:space="preserve">Valor del coeficiente resumen </t>
  </si>
  <si>
    <t>Explicito</t>
  </si>
  <si>
    <t>Variable</t>
  </si>
  <si>
    <t>50/cuadra</t>
  </si>
  <si>
    <t>20 operarios</t>
  </si>
  <si>
    <t>Suponiendo</t>
  </si>
  <si>
    <t>Costo total</t>
  </si>
  <si>
    <t>Presupuesto sin impuestos</t>
  </si>
  <si>
    <t>Presupuesto con impuestos</t>
  </si>
  <si>
    <t>Alquiler  inmueble</t>
  </si>
  <si>
    <t>18 meses</t>
  </si>
  <si>
    <t>Alquiler camion</t>
  </si>
  <si>
    <t>Cuadras proyecto</t>
  </si>
  <si>
    <t>Tasas para 18 meses</t>
  </si>
  <si>
    <t>Presupuesto final para las 20 cuadras en 18 meses</t>
  </si>
  <si>
    <t>meses</t>
  </si>
  <si>
    <t>Presupuesto s/imp</t>
  </si>
  <si>
    <t>Presupuesto c/imp</t>
  </si>
  <si>
    <t>PVC proyecto</t>
  </si>
  <si>
    <t>$ PVC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</si>
</sst>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0.000"/>
    <numFmt numFmtId="166" formatCode="&quot;$&quot;\ #,##0.000"/>
    <numFmt numFmtId="167" formatCode="&quot;$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Border="1"/>
    <xf numFmtId="0" fontId="0" fillId="0" borderId="0" xfId="0" applyBorder="1"/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0" fontId="4" fillId="0" borderId="0" xfId="0" applyFont="1" applyFill="1" applyBorder="1" applyAlignment="1"/>
    <xf numFmtId="165" fontId="3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4" fillId="0" borderId="1" xfId="0" applyNumberFormat="1" applyFont="1" applyFill="1" applyBorder="1" applyAlignment="1"/>
    <xf numFmtId="165" fontId="0" fillId="0" borderId="1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Fill="1" applyBorder="1" applyAlignment="1">
      <alignment horizontal="center"/>
    </xf>
    <xf numFmtId="164" fontId="0" fillId="6" borderId="1" xfId="0" applyNumberFormat="1" applyFill="1" applyBorder="1"/>
    <xf numFmtId="166" fontId="0" fillId="0" borderId="1" xfId="0" applyNumberFormat="1" applyBorder="1"/>
    <xf numFmtId="165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167" fontId="0" fillId="0" borderId="2" xfId="0" applyNumberFormat="1" applyBorder="1"/>
    <xf numFmtId="0" fontId="3" fillId="0" borderId="1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37FA-506E-4D7A-9B7F-89B485F52F25}">
  <dimension ref="A2:P51"/>
  <sheetViews>
    <sheetView topLeftCell="A43" workbookViewId="0">
      <selection sqref="A1:P61"/>
    </sheetView>
  </sheetViews>
  <sheetFormatPr baseColWidth="10" defaultRowHeight="15" x14ac:dyDescent="0.25"/>
  <cols>
    <col min="3" max="3" width="16.140625" customWidth="1"/>
    <col min="4" max="4" width="20.42578125" customWidth="1"/>
    <col min="5" max="5" width="13.140625" bestFit="1" customWidth="1"/>
    <col min="7" max="7" width="14.140625" bestFit="1" customWidth="1"/>
    <col min="10" max="10" width="14.140625" bestFit="1" customWidth="1"/>
    <col min="12" max="12" width="14.140625" bestFit="1" customWidth="1"/>
    <col min="13" max="13" width="14.7109375" bestFit="1" customWidth="1"/>
    <col min="14" max="14" width="15.140625" bestFit="1" customWidth="1"/>
  </cols>
  <sheetData>
    <row r="2" spans="1:16" ht="15.75" thickBot="1" x14ac:dyDescent="0.3"/>
    <row r="3" spans="1:16" ht="15.75" thickBot="1" x14ac:dyDescent="0.3">
      <c r="A3" s="87" t="s">
        <v>0</v>
      </c>
      <c r="B3" s="87"/>
      <c r="C3" s="1"/>
      <c r="D3" s="2"/>
      <c r="E3" s="2" t="s">
        <v>1</v>
      </c>
      <c r="F3" s="2" t="s">
        <v>2</v>
      </c>
      <c r="G3" s="2" t="s">
        <v>3</v>
      </c>
      <c r="H3" s="2" t="s">
        <v>4</v>
      </c>
      <c r="I3" s="3" t="s">
        <v>5</v>
      </c>
      <c r="J3" s="25" t="s">
        <v>6</v>
      </c>
      <c r="K3" s="26" t="s">
        <v>7</v>
      </c>
      <c r="L3" s="27" t="s">
        <v>8</v>
      </c>
    </row>
    <row r="4" spans="1:16" x14ac:dyDescent="0.25">
      <c r="A4" s="86" t="s">
        <v>9</v>
      </c>
      <c r="B4" s="86"/>
      <c r="C4" s="1"/>
      <c r="D4" s="4" t="s">
        <v>13</v>
      </c>
      <c r="E4" s="5">
        <v>100000</v>
      </c>
      <c r="F4" s="6">
        <f>((E4-G4)*(I4/H4))+G4</f>
        <v>73000</v>
      </c>
      <c r="G4" s="5">
        <f>E4*0.1</f>
        <v>10000</v>
      </c>
      <c r="H4" s="15">
        <v>10</v>
      </c>
      <c r="I4" s="7">
        <v>7</v>
      </c>
      <c r="J4" s="28"/>
      <c r="K4" s="29">
        <f>((E4-G4)/H4)*(15/12)</f>
        <v>11250</v>
      </c>
      <c r="L4" s="30">
        <f>F4*$P$9</f>
        <v>22812.5</v>
      </c>
    </row>
    <row r="5" spans="1:16" x14ac:dyDescent="0.25">
      <c r="A5" s="86" t="s">
        <v>9</v>
      </c>
      <c r="B5" s="86"/>
      <c r="D5" s="11" t="s">
        <v>14</v>
      </c>
      <c r="E5" s="13">
        <v>700000</v>
      </c>
      <c r="F5" s="6">
        <f>((E5-G5)*(I5/H5))+G5</f>
        <v>700000</v>
      </c>
      <c r="G5" s="13">
        <f>E5*0.2</f>
        <v>140000</v>
      </c>
      <c r="H5" s="14">
        <v>10</v>
      </c>
      <c r="I5" s="23">
        <v>10</v>
      </c>
      <c r="J5" s="8"/>
      <c r="K5" s="6">
        <f>((E5-G5)/H5)*(15/12)</f>
        <v>70000</v>
      </c>
      <c r="L5" s="9">
        <f>F5*$P$9</f>
        <v>218750</v>
      </c>
    </row>
    <row r="6" spans="1:16" x14ac:dyDescent="0.25">
      <c r="D6" s="11"/>
      <c r="E6" s="12"/>
      <c r="F6" s="12"/>
      <c r="G6" s="12"/>
      <c r="H6" s="11"/>
      <c r="I6" s="23"/>
      <c r="J6" s="8"/>
      <c r="K6" s="4"/>
      <c r="L6" s="35"/>
    </row>
    <row r="7" spans="1:16" x14ac:dyDescent="0.25">
      <c r="D7" s="11"/>
      <c r="E7" s="12"/>
      <c r="F7" s="12" t="s">
        <v>11</v>
      </c>
      <c r="G7" s="12" t="s">
        <v>12</v>
      </c>
      <c r="H7" s="11"/>
      <c r="I7" s="23"/>
      <c r="J7" s="8"/>
      <c r="K7" s="4"/>
      <c r="L7" s="35"/>
      <c r="N7" s="90" t="s">
        <v>38</v>
      </c>
      <c r="O7" s="90"/>
      <c r="P7" s="90"/>
    </row>
    <row r="8" spans="1:16" x14ac:dyDescent="0.25">
      <c r="A8" s="86" t="s">
        <v>35</v>
      </c>
      <c r="B8" s="86"/>
      <c r="D8" s="11" t="s">
        <v>10</v>
      </c>
      <c r="E8" s="12"/>
      <c r="F8" s="12">
        <v>25000</v>
      </c>
      <c r="G8" s="12">
        <f>F8*15</f>
        <v>375000</v>
      </c>
      <c r="H8" s="11"/>
      <c r="I8" s="23"/>
      <c r="J8" s="50">
        <f>G8</f>
        <v>375000</v>
      </c>
      <c r="K8" s="4"/>
      <c r="L8" s="9">
        <f>J8*$P$10*($O$17/15)</f>
        <v>18750</v>
      </c>
      <c r="N8" s="96" t="s">
        <v>24</v>
      </c>
      <c r="O8" s="96"/>
      <c r="P8" s="74">
        <f>P13*(15/12)</f>
        <v>0.1875</v>
      </c>
    </row>
    <row r="9" spans="1:16" x14ac:dyDescent="0.25">
      <c r="A9" s="86" t="s">
        <v>35</v>
      </c>
      <c r="B9" s="86"/>
      <c r="C9" s="77" t="s">
        <v>16</v>
      </c>
      <c r="D9" s="11" t="s">
        <v>15</v>
      </c>
      <c r="E9" s="12"/>
      <c r="F9" s="12">
        <v>10000</v>
      </c>
      <c r="G9" s="12">
        <f>F9*15</f>
        <v>150000</v>
      </c>
      <c r="H9" s="11"/>
      <c r="I9" s="23"/>
      <c r="J9" s="50">
        <f t="shared" ref="J9:J16" si="0">G9</f>
        <v>150000</v>
      </c>
      <c r="K9" s="4"/>
      <c r="L9" s="9">
        <f t="shared" ref="L9:L16" si="1">J9*$P$10*($O$17/15)</f>
        <v>7500</v>
      </c>
      <c r="N9" s="96" t="s">
        <v>25</v>
      </c>
      <c r="O9" s="96"/>
      <c r="P9" s="74">
        <f t="shared" ref="P9:P10" si="2">P14*(15/12)</f>
        <v>0.3125</v>
      </c>
    </row>
    <row r="10" spans="1:16" x14ac:dyDescent="0.25">
      <c r="A10" s="86" t="s">
        <v>35</v>
      </c>
      <c r="B10" s="86"/>
      <c r="D10" s="11" t="s">
        <v>17</v>
      </c>
      <c r="E10" s="12"/>
      <c r="F10" s="12"/>
      <c r="G10" s="12">
        <f>E22</f>
        <v>200000</v>
      </c>
      <c r="H10" s="11"/>
      <c r="I10" s="23"/>
      <c r="J10" s="50">
        <f t="shared" si="0"/>
        <v>200000</v>
      </c>
      <c r="K10" s="4"/>
      <c r="L10" s="9">
        <f t="shared" si="1"/>
        <v>10000</v>
      </c>
      <c r="N10" s="96" t="s">
        <v>26</v>
      </c>
      <c r="O10" s="96"/>
      <c r="P10" s="74">
        <f t="shared" si="2"/>
        <v>0.375</v>
      </c>
    </row>
    <row r="11" spans="1:16" x14ac:dyDescent="0.25">
      <c r="A11" s="86" t="s">
        <v>35</v>
      </c>
      <c r="B11" s="86"/>
      <c r="D11" s="16" t="s">
        <v>19</v>
      </c>
      <c r="E11" s="6">
        <f>20000</f>
        <v>20000</v>
      </c>
      <c r="F11" s="6"/>
      <c r="G11" s="6">
        <f>E11*E18</f>
        <v>400000</v>
      </c>
      <c r="H11" s="4"/>
      <c r="I11" s="24"/>
      <c r="J11" s="50">
        <f t="shared" si="0"/>
        <v>400000</v>
      </c>
      <c r="K11" s="4"/>
      <c r="L11" s="9">
        <f t="shared" si="1"/>
        <v>20000</v>
      </c>
    </row>
    <row r="12" spans="1:16" x14ac:dyDescent="0.25">
      <c r="A12" s="86" t="s">
        <v>35</v>
      </c>
      <c r="B12" s="86"/>
      <c r="D12" s="4" t="s">
        <v>20</v>
      </c>
      <c r="E12" s="6">
        <f>(30000+(30000*0.6))</f>
        <v>48000</v>
      </c>
      <c r="F12" s="6">
        <f>E12*20</f>
        <v>960000</v>
      </c>
      <c r="G12" s="6">
        <f>F12*16</f>
        <v>15360000</v>
      </c>
      <c r="H12" s="4"/>
      <c r="I12" s="47"/>
      <c r="J12" s="50">
        <f t="shared" si="0"/>
        <v>15360000</v>
      </c>
      <c r="K12" s="4"/>
      <c r="L12" s="9">
        <f t="shared" si="1"/>
        <v>768000</v>
      </c>
      <c r="N12" s="97" t="s">
        <v>39</v>
      </c>
      <c r="O12" s="97"/>
      <c r="P12" s="97"/>
    </row>
    <row r="13" spans="1:16" x14ac:dyDescent="0.25">
      <c r="A13" s="86" t="s">
        <v>35</v>
      </c>
      <c r="B13" s="86"/>
      <c r="D13" s="16" t="s">
        <v>21</v>
      </c>
      <c r="E13" s="6">
        <v>50000</v>
      </c>
      <c r="F13" s="6">
        <f>E13*2</f>
        <v>100000</v>
      </c>
      <c r="G13" s="6">
        <f>F13*15</f>
        <v>1500000</v>
      </c>
      <c r="H13" s="4"/>
      <c r="I13" s="24"/>
      <c r="J13" s="50">
        <f t="shared" si="0"/>
        <v>1500000</v>
      </c>
      <c r="K13" s="4"/>
      <c r="L13" s="9">
        <f t="shared" si="1"/>
        <v>75000</v>
      </c>
      <c r="N13" s="86" t="s">
        <v>24</v>
      </c>
      <c r="O13" s="86"/>
      <c r="P13" s="20">
        <f>15%</f>
        <v>0.15</v>
      </c>
    </row>
    <row r="14" spans="1:16" x14ac:dyDescent="0.25">
      <c r="A14" s="86" t="s">
        <v>35</v>
      </c>
      <c r="B14" s="86"/>
      <c r="D14" s="16" t="s">
        <v>22</v>
      </c>
      <c r="E14" s="6">
        <v>10000</v>
      </c>
      <c r="F14" s="6">
        <f>E14/3</f>
        <v>3333.3333333333335</v>
      </c>
      <c r="G14" s="6">
        <f>F14*15</f>
        <v>50000</v>
      </c>
      <c r="H14" s="4"/>
      <c r="I14" s="24"/>
      <c r="J14" s="50">
        <f t="shared" si="0"/>
        <v>50000</v>
      </c>
      <c r="K14" s="4"/>
      <c r="L14" s="9">
        <f t="shared" si="1"/>
        <v>2500</v>
      </c>
      <c r="N14" s="86" t="s">
        <v>25</v>
      </c>
      <c r="O14" s="86"/>
      <c r="P14" s="20">
        <v>0.25</v>
      </c>
    </row>
    <row r="15" spans="1:16" x14ac:dyDescent="0.25">
      <c r="A15" s="86" t="s">
        <v>35</v>
      </c>
      <c r="B15" s="86"/>
      <c r="D15" s="43" t="s">
        <v>23</v>
      </c>
      <c r="E15" s="44"/>
      <c r="F15" s="44">
        <v>1000</v>
      </c>
      <c r="G15" s="44">
        <f>F15*15</f>
        <v>15000</v>
      </c>
      <c r="H15" s="45"/>
      <c r="I15" s="46"/>
      <c r="J15" s="50">
        <f t="shared" si="0"/>
        <v>15000</v>
      </c>
      <c r="K15" s="45"/>
      <c r="L15" s="9">
        <f t="shared" si="1"/>
        <v>750</v>
      </c>
      <c r="N15" s="86" t="s">
        <v>26</v>
      </c>
      <c r="O15" s="86"/>
      <c r="P15" s="20">
        <v>0.3</v>
      </c>
    </row>
    <row r="16" spans="1:16" ht="15.75" thickBot="1" x14ac:dyDescent="0.3">
      <c r="A16" s="86" t="s">
        <v>35</v>
      </c>
      <c r="B16" s="86"/>
      <c r="D16" s="16" t="s">
        <v>36</v>
      </c>
      <c r="E16" s="6"/>
      <c r="F16" s="6"/>
      <c r="G16" s="6">
        <v>1000000</v>
      </c>
      <c r="H16" s="4"/>
      <c r="I16" s="24"/>
      <c r="J16" s="50">
        <f t="shared" si="0"/>
        <v>1000000</v>
      </c>
      <c r="K16" s="48"/>
      <c r="L16" s="9">
        <f t="shared" si="1"/>
        <v>50000</v>
      </c>
    </row>
    <row r="17" spans="1:16" ht="15.75" thickBot="1" x14ac:dyDescent="0.3">
      <c r="A17" s="42"/>
      <c r="B17" s="42"/>
      <c r="D17" s="17"/>
      <c r="E17" s="18"/>
      <c r="F17" s="18"/>
      <c r="G17" s="18"/>
      <c r="H17" s="19"/>
      <c r="I17" s="19"/>
      <c r="J17" s="31">
        <f>SUM(J4:J16)</f>
        <v>19050000</v>
      </c>
      <c r="K17" s="32">
        <f>SUM(K4:K15)</f>
        <v>81250</v>
      </c>
      <c r="L17" s="33">
        <f>SUM(L4:L16)</f>
        <v>1194062.5</v>
      </c>
      <c r="N17" s="1" t="s">
        <v>41</v>
      </c>
      <c r="O17" s="1">
        <v>2</v>
      </c>
      <c r="P17" t="s">
        <v>64</v>
      </c>
    </row>
    <row r="18" spans="1:16" ht="15.75" thickBot="1" x14ac:dyDescent="0.3">
      <c r="A18" s="93" t="s">
        <v>31</v>
      </c>
      <c r="B18" s="94"/>
      <c r="D18" s="16" t="s">
        <v>40</v>
      </c>
      <c r="E18" s="49">
        <v>20</v>
      </c>
      <c r="J18" s="10"/>
    </row>
    <row r="19" spans="1:16" ht="15" customHeight="1" x14ac:dyDescent="0.25">
      <c r="A19" s="83" t="str">
        <f>D4</f>
        <v>Pala mecanica</v>
      </c>
      <c r="B19" s="34" t="s">
        <v>32</v>
      </c>
      <c r="K19" s="78" t="s">
        <v>12</v>
      </c>
      <c r="L19" s="79">
        <f>SUM(J17:L17)</f>
        <v>20325312.5</v>
      </c>
    </row>
    <row r="20" spans="1:16" x14ac:dyDescent="0.25">
      <c r="A20" s="84"/>
      <c r="B20" s="35" t="s">
        <v>33</v>
      </c>
      <c r="D20" s="4" t="s">
        <v>17</v>
      </c>
      <c r="E20" s="88" t="s">
        <v>18</v>
      </c>
      <c r="F20" s="89"/>
      <c r="K20" t="s">
        <v>30</v>
      </c>
      <c r="L20" s="10">
        <f>L19*(12/15)</f>
        <v>16260250</v>
      </c>
    </row>
    <row r="21" spans="1:16" ht="15.75" thickBot="1" x14ac:dyDescent="0.3">
      <c r="A21" s="85"/>
      <c r="B21" s="36" t="s">
        <v>34</v>
      </c>
      <c r="D21" s="65" t="s">
        <v>67</v>
      </c>
      <c r="E21" s="4">
        <f>50*E18</f>
        <v>1000</v>
      </c>
    </row>
    <row r="22" spans="1:16" x14ac:dyDescent="0.25">
      <c r="A22" s="83" t="str">
        <f>D5</f>
        <v>Automovil</v>
      </c>
      <c r="B22" s="34" t="s">
        <v>50</v>
      </c>
      <c r="D22" s="65" t="s">
        <v>68</v>
      </c>
      <c r="E22" s="6">
        <f>E21*200</f>
        <v>200000</v>
      </c>
    </row>
    <row r="23" spans="1:16" x14ac:dyDescent="0.25">
      <c r="A23" s="84"/>
      <c r="B23" s="35" t="s">
        <v>33</v>
      </c>
    </row>
    <row r="24" spans="1:16" ht="15.75" thickBot="1" x14ac:dyDescent="0.3">
      <c r="A24" s="85"/>
      <c r="B24" s="36" t="s">
        <v>34</v>
      </c>
      <c r="F24" s="88" t="s">
        <v>27</v>
      </c>
      <c r="G24" s="89"/>
      <c r="H24" s="20">
        <v>0.2</v>
      </c>
      <c r="J24" s="98" t="s">
        <v>46</v>
      </c>
      <c r="K24" s="98"/>
      <c r="L24" s="98"/>
      <c r="M24" s="58">
        <v>10000000</v>
      </c>
    </row>
    <row r="25" spans="1:16" x14ac:dyDescent="0.25">
      <c r="A25" s="83" t="str">
        <f>D8</f>
        <v xml:space="preserve">Alquiler </v>
      </c>
      <c r="B25" s="34" t="s">
        <v>50</v>
      </c>
      <c r="F25" s="88" t="s">
        <v>28</v>
      </c>
      <c r="G25" s="89"/>
      <c r="H25" s="21">
        <v>0.25</v>
      </c>
    </row>
    <row r="26" spans="1:16" x14ac:dyDescent="0.25">
      <c r="A26" s="84"/>
      <c r="B26" s="35" t="s">
        <v>33</v>
      </c>
      <c r="F26" s="88" t="s">
        <v>29</v>
      </c>
      <c r="G26" s="89"/>
      <c r="H26" s="22">
        <v>0.25</v>
      </c>
      <c r="J26" s="99" t="s">
        <v>42</v>
      </c>
      <c r="K26" s="99"/>
      <c r="L26" s="99"/>
      <c r="M26" s="52">
        <f>N26+M24</f>
        <v>12000000</v>
      </c>
      <c r="N26" s="10">
        <f>M24*H24</f>
        <v>2000000</v>
      </c>
    </row>
    <row r="27" spans="1:16" ht="15.75" thickBot="1" x14ac:dyDescent="0.3">
      <c r="A27" s="85"/>
      <c r="B27" s="36" t="s">
        <v>34</v>
      </c>
      <c r="J27" s="100" t="s">
        <v>43</v>
      </c>
      <c r="K27" s="100"/>
      <c r="L27" s="100"/>
      <c r="M27" s="53">
        <f>N27+M26</f>
        <v>15000000</v>
      </c>
      <c r="N27" s="10">
        <f>M26*H25</f>
        <v>3000000</v>
      </c>
    </row>
    <row r="28" spans="1:16" ht="15" customHeight="1" x14ac:dyDescent="0.25">
      <c r="A28" s="83" t="str">
        <f>D9</f>
        <v>Camion pequeño</v>
      </c>
      <c r="B28" s="34" t="s">
        <v>32</v>
      </c>
      <c r="J28" s="100" t="s">
        <v>44</v>
      </c>
      <c r="K28" s="100"/>
      <c r="L28" s="100"/>
      <c r="M28" s="53">
        <f>N28+M27</f>
        <v>18750000</v>
      </c>
      <c r="N28" s="10">
        <f>M27*H26</f>
        <v>3750000</v>
      </c>
    </row>
    <row r="29" spans="1:16" x14ac:dyDescent="0.25">
      <c r="A29" s="84"/>
      <c r="B29" s="35" t="s">
        <v>33</v>
      </c>
      <c r="F29" s="91" t="s">
        <v>45</v>
      </c>
      <c r="G29" s="92"/>
      <c r="H29" s="59">
        <f>(1+H24)*(1+H25)*(1+H26)</f>
        <v>1.875</v>
      </c>
    </row>
    <row r="30" spans="1:16" ht="15.75" thickBot="1" x14ac:dyDescent="0.3">
      <c r="A30" s="85"/>
      <c r="B30" s="36" t="s">
        <v>34</v>
      </c>
      <c r="L30" s="56" t="s">
        <v>47</v>
      </c>
      <c r="M30" s="57">
        <f>M27-M26</f>
        <v>3000000</v>
      </c>
    </row>
    <row r="31" spans="1:16" x14ac:dyDescent="0.25">
      <c r="A31" s="83" t="str">
        <f>D10</f>
        <v>PVC</v>
      </c>
      <c r="B31" s="34" t="s">
        <v>50</v>
      </c>
      <c r="L31" s="1"/>
      <c r="M31" s="6">
        <f>M26*H25</f>
        <v>3000000</v>
      </c>
    </row>
    <row r="32" spans="1:16" x14ac:dyDescent="0.25">
      <c r="A32" s="84"/>
      <c r="B32" s="35" t="s">
        <v>51</v>
      </c>
    </row>
    <row r="33" spans="1:14" ht="15.75" thickBot="1" x14ac:dyDescent="0.3">
      <c r="A33" s="85"/>
      <c r="B33" s="36" t="s">
        <v>34</v>
      </c>
      <c r="K33" s="95" t="s">
        <v>48</v>
      </c>
      <c r="L33" s="95"/>
      <c r="M33" s="57">
        <f>M28</f>
        <v>18750000</v>
      </c>
      <c r="N33" s="61">
        <f>M24*M35</f>
        <v>18750000</v>
      </c>
    </row>
    <row r="34" spans="1:14" ht="15" customHeight="1" x14ac:dyDescent="0.25">
      <c r="A34" s="83" t="str">
        <f>D11</f>
        <v>Demas materiales</v>
      </c>
      <c r="B34" s="34" t="s">
        <v>50</v>
      </c>
      <c r="K34" s="1"/>
      <c r="L34" s="1"/>
      <c r="M34" s="1"/>
    </row>
    <row r="35" spans="1:14" x14ac:dyDescent="0.25">
      <c r="A35" s="84"/>
      <c r="B35" s="35" t="s">
        <v>51</v>
      </c>
      <c r="K35" s="95" t="s">
        <v>49</v>
      </c>
      <c r="L35" s="95"/>
      <c r="M35" s="60">
        <f>H29</f>
        <v>1.875</v>
      </c>
    </row>
    <row r="36" spans="1:14" ht="15.75" thickBot="1" x14ac:dyDescent="0.3">
      <c r="A36" s="85"/>
      <c r="B36" s="36" t="s">
        <v>34</v>
      </c>
    </row>
    <row r="37" spans="1:14" ht="15" customHeight="1" x14ac:dyDescent="0.25">
      <c r="A37" s="83" t="str">
        <f>D12</f>
        <v>Mano de obra (20)</v>
      </c>
      <c r="B37" s="34" t="s">
        <v>50</v>
      </c>
    </row>
    <row r="38" spans="1:14" x14ac:dyDescent="0.25">
      <c r="A38" s="84"/>
      <c r="B38" s="35" t="s">
        <v>33</v>
      </c>
    </row>
    <row r="39" spans="1:14" ht="15.75" thickBot="1" x14ac:dyDescent="0.3">
      <c r="A39" s="85"/>
      <c r="B39" s="36" t="s">
        <v>34</v>
      </c>
    </row>
    <row r="40" spans="1:14" ht="15" customHeight="1" x14ac:dyDescent="0.25">
      <c r="A40" s="83" t="str">
        <f>D13</f>
        <v>2 ingenieros</v>
      </c>
      <c r="B40" s="34" t="s">
        <v>50</v>
      </c>
    </row>
    <row r="41" spans="1:14" x14ac:dyDescent="0.25">
      <c r="A41" s="84"/>
      <c r="B41" s="35" t="s">
        <v>33</v>
      </c>
    </row>
    <row r="42" spans="1:14" ht="15.75" thickBot="1" x14ac:dyDescent="0.3">
      <c r="A42" s="85"/>
      <c r="B42" s="36" t="s">
        <v>34</v>
      </c>
    </row>
    <row r="43" spans="1:14" ht="15" customHeight="1" x14ac:dyDescent="0.25">
      <c r="A43" s="83" t="str">
        <f>D14</f>
        <v>Seguros e impuestos</v>
      </c>
      <c r="B43" s="34" t="s">
        <v>50</v>
      </c>
    </row>
    <row r="44" spans="1:14" x14ac:dyDescent="0.25">
      <c r="A44" s="84"/>
      <c r="B44" s="35" t="s">
        <v>33</v>
      </c>
    </row>
    <row r="45" spans="1:14" ht="15.75" thickBot="1" x14ac:dyDescent="0.3">
      <c r="A45" s="85"/>
      <c r="B45" s="36" t="s">
        <v>34</v>
      </c>
    </row>
    <row r="46" spans="1:14" x14ac:dyDescent="0.25">
      <c r="A46" s="83" t="str">
        <f>D15</f>
        <v>Insumos</v>
      </c>
      <c r="B46" s="34" t="s">
        <v>50</v>
      </c>
    </row>
    <row r="47" spans="1:14" x14ac:dyDescent="0.25">
      <c r="A47" s="84"/>
      <c r="B47" s="35" t="s">
        <v>33</v>
      </c>
    </row>
    <row r="48" spans="1:14" ht="15.75" thickBot="1" x14ac:dyDescent="0.3">
      <c r="A48" s="85"/>
      <c r="B48" s="36" t="s">
        <v>34</v>
      </c>
    </row>
    <row r="49" spans="1:2" ht="15" customHeight="1" x14ac:dyDescent="0.25">
      <c r="A49" s="83" t="s">
        <v>36</v>
      </c>
      <c r="B49" s="34" t="s">
        <v>50</v>
      </c>
    </row>
    <row r="50" spans="1:2" x14ac:dyDescent="0.25">
      <c r="A50" s="84"/>
      <c r="B50" s="35" t="s">
        <v>33</v>
      </c>
    </row>
    <row r="51" spans="1:2" ht="15.75" thickBot="1" x14ac:dyDescent="0.3">
      <c r="A51" s="85"/>
      <c r="B51" s="36" t="s">
        <v>34</v>
      </c>
    </row>
  </sheetData>
  <mergeCells count="43">
    <mergeCell ref="K35:L35"/>
    <mergeCell ref="N8:O8"/>
    <mergeCell ref="N9:O9"/>
    <mergeCell ref="N10:O10"/>
    <mergeCell ref="N12:P12"/>
    <mergeCell ref="N14:O14"/>
    <mergeCell ref="J24:L24"/>
    <mergeCell ref="J26:L26"/>
    <mergeCell ref="J27:L27"/>
    <mergeCell ref="J28:L28"/>
    <mergeCell ref="K33:L33"/>
    <mergeCell ref="N7:P7"/>
    <mergeCell ref="F29:G29"/>
    <mergeCell ref="A31:A33"/>
    <mergeCell ref="A34:A36"/>
    <mergeCell ref="A37:A39"/>
    <mergeCell ref="A15:B15"/>
    <mergeCell ref="N15:O15"/>
    <mergeCell ref="A16:B16"/>
    <mergeCell ref="A18:B18"/>
    <mergeCell ref="A19:A21"/>
    <mergeCell ref="E20:F20"/>
    <mergeCell ref="A11:B11"/>
    <mergeCell ref="A12:B12"/>
    <mergeCell ref="A13:B13"/>
    <mergeCell ref="N13:O13"/>
    <mergeCell ref="A14:B14"/>
    <mergeCell ref="F24:G24"/>
    <mergeCell ref="A25:A27"/>
    <mergeCell ref="F25:G25"/>
    <mergeCell ref="F26:G26"/>
    <mergeCell ref="A28:A30"/>
    <mergeCell ref="A49:A51"/>
    <mergeCell ref="A10:B10"/>
    <mergeCell ref="A3:B3"/>
    <mergeCell ref="A4:B4"/>
    <mergeCell ref="A5:B5"/>
    <mergeCell ref="A8:B8"/>
    <mergeCell ref="A9:B9"/>
    <mergeCell ref="A40:A42"/>
    <mergeCell ref="A43:A45"/>
    <mergeCell ref="A46:A48"/>
    <mergeCell ref="A22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1B44-50D3-4DBA-97BA-D3CD23477368}">
  <dimension ref="A2:P51"/>
  <sheetViews>
    <sheetView topLeftCell="A36" zoomScaleNormal="100" workbookViewId="0">
      <selection activeCell="B19" sqref="B19:B51"/>
    </sheetView>
  </sheetViews>
  <sheetFormatPr baseColWidth="10" defaultRowHeight="15" x14ac:dyDescent="0.25"/>
  <cols>
    <col min="3" max="3" width="15.5703125" customWidth="1"/>
    <col min="4" max="4" width="19.28515625" customWidth="1"/>
    <col min="5" max="5" width="13.140625" bestFit="1" customWidth="1"/>
    <col min="7" max="7" width="14.28515625" customWidth="1"/>
    <col min="9" max="10" width="14.140625" bestFit="1" customWidth="1"/>
    <col min="11" max="11" width="13.5703125" customWidth="1"/>
    <col min="12" max="12" width="14.140625" bestFit="1" customWidth="1"/>
    <col min="13" max="13" width="14.7109375" customWidth="1"/>
    <col min="14" max="14" width="15.140625" bestFit="1" customWidth="1"/>
  </cols>
  <sheetData>
    <row r="2" spans="1:16" ht="15.75" thickBot="1" x14ac:dyDescent="0.3">
      <c r="K2" s="10"/>
    </row>
    <row r="3" spans="1:16" ht="15.75" thickBot="1" x14ac:dyDescent="0.3">
      <c r="A3" s="87" t="s">
        <v>0</v>
      </c>
      <c r="B3" s="87"/>
      <c r="C3" s="1"/>
      <c r="D3" s="2"/>
      <c r="E3" s="2" t="s">
        <v>1</v>
      </c>
      <c r="F3" s="2" t="s">
        <v>2</v>
      </c>
      <c r="G3" s="2" t="s">
        <v>3</v>
      </c>
      <c r="H3" s="2" t="s">
        <v>4</v>
      </c>
      <c r="I3" s="3" t="s">
        <v>5</v>
      </c>
      <c r="J3" s="39" t="s">
        <v>6</v>
      </c>
      <c r="K3" s="40" t="s">
        <v>7</v>
      </c>
      <c r="L3" s="41" t="s">
        <v>8</v>
      </c>
    </row>
    <row r="4" spans="1:16" x14ac:dyDescent="0.25">
      <c r="A4" s="86" t="s">
        <v>9</v>
      </c>
      <c r="B4" s="86"/>
      <c r="C4" s="1"/>
      <c r="D4" s="4" t="s">
        <v>13</v>
      </c>
      <c r="E4" s="5">
        <v>100000</v>
      </c>
      <c r="F4" s="6">
        <f>((E4-G4)*(I4/H4))+G4</f>
        <v>73000</v>
      </c>
      <c r="G4" s="5">
        <f>E4*0.1</f>
        <v>10000</v>
      </c>
      <c r="H4" s="15">
        <v>10</v>
      </c>
      <c r="I4" s="7">
        <v>7</v>
      </c>
      <c r="J4" s="37"/>
      <c r="K4" s="51">
        <f>((E4-G4)/H4)</f>
        <v>9000</v>
      </c>
      <c r="L4" s="38">
        <f>F4*$P$14</f>
        <v>18250</v>
      </c>
    </row>
    <row r="5" spans="1:16" x14ac:dyDescent="0.25">
      <c r="A5" s="86" t="s">
        <v>9</v>
      </c>
      <c r="B5" s="86"/>
      <c r="D5" s="11" t="s">
        <v>14</v>
      </c>
      <c r="E5" s="13">
        <v>700000</v>
      </c>
      <c r="F5" s="6">
        <f>((E5-G5)*(I5/H5))+G5</f>
        <v>700000</v>
      </c>
      <c r="G5" s="13">
        <f>E5*0.2</f>
        <v>140000</v>
      </c>
      <c r="H5" s="14">
        <v>10</v>
      </c>
      <c r="I5" s="23">
        <v>10</v>
      </c>
      <c r="J5" s="8"/>
      <c r="K5" s="6">
        <f>((E5-G5)/H5)</f>
        <v>56000</v>
      </c>
      <c r="L5" s="9">
        <f>F5*$P$14</f>
        <v>175000</v>
      </c>
    </row>
    <row r="6" spans="1:16" x14ac:dyDescent="0.25">
      <c r="D6" s="11"/>
      <c r="E6" s="12"/>
      <c r="F6" s="12"/>
      <c r="G6" s="12"/>
      <c r="H6" s="11"/>
      <c r="I6" s="23"/>
      <c r="J6" s="8"/>
      <c r="K6" s="4"/>
      <c r="L6" s="35"/>
    </row>
    <row r="7" spans="1:16" x14ac:dyDescent="0.25">
      <c r="D7" s="11"/>
      <c r="E7" s="12"/>
      <c r="F7" s="12" t="s">
        <v>11</v>
      </c>
      <c r="G7" s="12" t="s">
        <v>37</v>
      </c>
      <c r="H7" s="11"/>
      <c r="I7" s="23"/>
      <c r="J7" s="8"/>
      <c r="K7" s="4"/>
      <c r="L7" s="35"/>
      <c r="N7" s="72" t="s">
        <v>41</v>
      </c>
      <c r="O7" s="72">
        <v>2</v>
      </c>
      <c r="P7" t="s">
        <v>64</v>
      </c>
    </row>
    <row r="8" spans="1:16" x14ac:dyDescent="0.25">
      <c r="A8" s="86" t="s">
        <v>35</v>
      </c>
      <c r="B8" s="86"/>
      <c r="D8" s="11" t="s">
        <v>10</v>
      </c>
      <c r="E8" s="12"/>
      <c r="F8" s="12">
        <v>25000</v>
      </c>
      <c r="G8" s="12">
        <f>F8*12</f>
        <v>300000</v>
      </c>
      <c r="H8" s="11"/>
      <c r="I8" s="23"/>
      <c r="J8" s="50">
        <f>G8</f>
        <v>300000</v>
      </c>
      <c r="K8" s="4"/>
      <c r="L8" s="9">
        <f>J8*$P$15*($O$7/12)</f>
        <v>15000</v>
      </c>
    </row>
    <row r="9" spans="1:16" x14ac:dyDescent="0.25">
      <c r="A9" s="86" t="s">
        <v>35</v>
      </c>
      <c r="B9" s="86"/>
      <c r="C9" t="s">
        <v>16</v>
      </c>
      <c r="D9" s="11" t="s">
        <v>15</v>
      </c>
      <c r="E9" s="12"/>
      <c r="F9" s="12">
        <v>10000</v>
      </c>
      <c r="G9" s="12">
        <f>F9*12</f>
        <v>120000</v>
      </c>
      <c r="H9" s="11"/>
      <c r="I9" s="23"/>
      <c r="J9" s="50">
        <f t="shared" ref="J9:J15" si="0">G9</f>
        <v>120000</v>
      </c>
      <c r="K9" s="4"/>
      <c r="L9" s="9">
        <f t="shared" ref="L9:L16" si="1">J9*$P$15*($O$7/12)</f>
        <v>6000</v>
      </c>
    </row>
    <row r="10" spans="1:16" x14ac:dyDescent="0.25">
      <c r="A10" s="86" t="s">
        <v>35</v>
      </c>
      <c r="B10" s="86"/>
      <c r="D10" s="11" t="s">
        <v>17</v>
      </c>
      <c r="E10" s="12"/>
      <c r="F10" s="12">
        <f>E22</f>
        <v>200000</v>
      </c>
      <c r="G10" s="12">
        <f>F10*(12/15)</f>
        <v>160000</v>
      </c>
      <c r="H10" s="11"/>
      <c r="I10" s="23"/>
      <c r="J10" s="50">
        <f t="shared" si="0"/>
        <v>160000</v>
      </c>
      <c r="K10" s="4"/>
      <c r="L10" s="9">
        <f t="shared" si="1"/>
        <v>8000</v>
      </c>
    </row>
    <row r="11" spans="1:16" x14ac:dyDescent="0.25">
      <c r="A11" s="86" t="s">
        <v>35</v>
      </c>
      <c r="B11" s="86"/>
      <c r="D11" s="16" t="s">
        <v>19</v>
      </c>
      <c r="E11" s="6">
        <f>20000</f>
        <v>20000</v>
      </c>
      <c r="F11" s="6"/>
      <c r="G11" s="12">
        <f>E11*(12/15)</f>
        <v>16000</v>
      </c>
      <c r="H11" s="4"/>
      <c r="I11" s="24"/>
      <c r="J11" s="50">
        <f t="shared" si="0"/>
        <v>16000</v>
      </c>
      <c r="K11" s="4"/>
      <c r="L11" s="9">
        <f t="shared" si="1"/>
        <v>800</v>
      </c>
    </row>
    <row r="12" spans="1:16" x14ac:dyDescent="0.25">
      <c r="A12" s="86" t="s">
        <v>35</v>
      </c>
      <c r="B12" s="86"/>
      <c r="D12" s="4" t="s">
        <v>20</v>
      </c>
      <c r="E12" s="6">
        <f>(30000+(30000*0.6))</f>
        <v>48000</v>
      </c>
      <c r="F12" s="6">
        <f>E12*20</f>
        <v>960000</v>
      </c>
      <c r="G12" s="6">
        <f>F12*13</f>
        <v>12480000</v>
      </c>
      <c r="H12" s="4"/>
      <c r="I12" s="47"/>
      <c r="J12" s="50">
        <f t="shared" si="0"/>
        <v>12480000</v>
      </c>
      <c r="K12" s="4"/>
      <c r="L12" s="9">
        <f t="shared" si="1"/>
        <v>624000</v>
      </c>
    </row>
    <row r="13" spans="1:16" x14ac:dyDescent="0.25">
      <c r="A13" s="86" t="s">
        <v>35</v>
      </c>
      <c r="B13" s="86"/>
      <c r="D13" s="16" t="s">
        <v>21</v>
      </c>
      <c r="E13" s="6">
        <v>50000</v>
      </c>
      <c r="F13" s="6">
        <f>E13*2</f>
        <v>100000</v>
      </c>
      <c r="G13" s="6">
        <f>F13*12</f>
        <v>1200000</v>
      </c>
      <c r="H13" s="4"/>
      <c r="I13" s="24"/>
      <c r="J13" s="50">
        <f t="shared" si="0"/>
        <v>1200000</v>
      </c>
      <c r="K13" s="4"/>
      <c r="L13" s="9">
        <f t="shared" si="1"/>
        <v>60000</v>
      </c>
      <c r="N13" s="96" t="s">
        <v>24</v>
      </c>
      <c r="O13" s="96"/>
      <c r="P13" s="74">
        <v>0.15</v>
      </c>
    </row>
    <row r="14" spans="1:16" x14ac:dyDescent="0.25">
      <c r="A14" s="86" t="s">
        <v>35</v>
      </c>
      <c r="B14" s="86"/>
      <c r="D14" s="16" t="s">
        <v>22</v>
      </c>
      <c r="E14" s="6">
        <v>10000</v>
      </c>
      <c r="F14" s="6">
        <f>E14/3</f>
        <v>3333.3333333333335</v>
      </c>
      <c r="G14" s="6">
        <f>F14*12</f>
        <v>40000</v>
      </c>
      <c r="H14" s="4"/>
      <c r="I14" s="24"/>
      <c r="J14" s="50">
        <f t="shared" si="0"/>
        <v>40000</v>
      </c>
      <c r="K14" s="4"/>
      <c r="L14" s="9">
        <f t="shared" si="1"/>
        <v>2000</v>
      </c>
      <c r="N14" s="96" t="s">
        <v>25</v>
      </c>
      <c r="O14" s="96"/>
      <c r="P14" s="74">
        <v>0.25</v>
      </c>
    </row>
    <row r="15" spans="1:16" x14ac:dyDescent="0.25">
      <c r="A15" s="86" t="s">
        <v>35</v>
      </c>
      <c r="B15" s="86"/>
      <c r="D15" s="43" t="s">
        <v>23</v>
      </c>
      <c r="E15" s="44"/>
      <c r="F15" s="44">
        <v>1000</v>
      </c>
      <c r="G15" s="44">
        <f>F15*12</f>
        <v>12000</v>
      </c>
      <c r="H15" s="45"/>
      <c r="I15" s="46"/>
      <c r="J15" s="50">
        <f t="shared" si="0"/>
        <v>12000</v>
      </c>
      <c r="K15" s="45"/>
      <c r="L15" s="9">
        <f t="shared" si="1"/>
        <v>600</v>
      </c>
      <c r="N15" s="96" t="s">
        <v>26</v>
      </c>
      <c r="O15" s="96"/>
      <c r="P15" s="74">
        <v>0.3</v>
      </c>
    </row>
    <row r="16" spans="1:16" ht="15.75" thickBot="1" x14ac:dyDescent="0.3">
      <c r="A16" s="86" t="s">
        <v>35</v>
      </c>
      <c r="B16" s="86"/>
      <c r="D16" s="16" t="s">
        <v>36</v>
      </c>
      <c r="E16" s="6">
        <v>1000000</v>
      </c>
      <c r="F16" s="6"/>
      <c r="G16" s="6">
        <f>E16*(12/15)</f>
        <v>800000</v>
      </c>
      <c r="H16" s="4"/>
      <c r="I16" s="24"/>
      <c r="J16" s="50">
        <f>G16</f>
        <v>800000</v>
      </c>
      <c r="K16" s="48"/>
      <c r="L16" s="9">
        <f t="shared" si="1"/>
        <v>40000</v>
      </c>
    </row>
    <row r="17" spans="1:14" ht="15.75" thickBot="1" x14ac:dyDescent="0.3">
      <c r="A17" s="42"/>
      <c r="B17" s="42"/>
      <c r="D17" s="17"/>
      <c r="E17" s="18"/>
      <c r="F17" s="18"/>
      <c r="G17" s="18"/>
      <c r="H17" s="19"/>
      <c r="I17" s="19"/>
      <c r="J17" s="31">
        <f>SUM(J4:J16)</f>
        <v>15128000</v>
      </c>
      <c r="K17" s="32">
        <f>SUM(K4:K15)</f>
        <v>65000</v>
      </c>
      <c r="L17" s="33">
        <f>SUM(L4:L16)</f>
        <v>949650</v>
      </c>
    </row>
    <row r="18" spans="1:14" ht="15.75" thickBot="1" x14ac:dyDescent="0.3">
      <c r="A18" s="93" t="s">
        <v>31</v>
      </c>
      <c r="B18" s="94"/>
      <c r="J18" s="10"/>
    </row>
    <row r="19" spans="1:14" ht="15" customHeight="1" x14ac:dyDescent="0.25">
      <c r="A19" s="83" t="str">
        <f>D4</f>
        <v>Pala mecanica</v>
      </c>
      <c r="B19" s="34"/>
      <c r="K19" s="72" t="s">
        <v>30</v>
      </c>
      <c r="L19" s="80">
        <f>SUM(J17:L17)</f>
        <v>16142650</v>
      </c>
    </row>
    <row r="20" spans="1:14" x14ac:dyDescent="0.25">
      <c r="A20" s="84"/>
      <c r="B20" s="35"/>
      <c r="D20" s="4" t="s">
        <v>17</v>
      </c>
      <c r="E20" s="87" t="s">
        <v>18</v>
      </c>
      <c r="F20" s="87"/>
      <c r="K20" s="78" t="s">
        <v>12</v>
      </c>
      <c r="L20" s="79">
        <f>L19*(15/12)</f>
        <v>20178312.5</v>
      </c>
    </row>
    <row r="21" spans="1:14" ht="15.75" thickBot="1" x14ac:dyDescent="0.3">
      <c r="A21" s="85"/>
      <c r="B21" s="36"/>
      <c r="D21" s="1"/>
      <c r="E21" s="4">
        <f>50*20</f>
        <v>1000</v>
      </c>
    </row>
    <row r="22" spans="1:14" ht="15" customHeight="1" x14ac:dyDescent="0.25">
      <c r="A22" s="83" t="str">
        <f>D5</f>
        <v>Automovil</v>
      </c>
      <c r="B22" s="34"/>
      <c r="D22" s="1"/>
      <c r="E22" s="6">
        <f>E21*200</f>
        <v>200000</v>
      </c>
      <c r="J22" s="54"/>
      <c r="K22" s="54"/>
      <c r="L22" s="54"/>
      <c r="M22" s="54"/>
    </row>
    <row r="23" spans="1:14" x14ac:dyDescent="0.25">
      <c r="A23" s="84"/>
      <c r="B23" s="35"/>
      <c r="J23" s="54"/>
      <c r="K23" s="54"/>
      <c r="L23" s="54"/>
      <c r="M23" s="54"/>
    </row>
    <row r="24" spans="1:14" ht="15.75" thickBot="1" x14ac:dyDescent="0.3">
      <c r="A24" s="85"/>
      <c r="B24" s="36"/>
      <c r="F24" s="88" t="s">
        <v>27</v>
      </c>
      <c r="G24" s="89"/>
      <c r="H24" s="20">
        <v>0.2</v>
      </c>
      <c r="J24" s="98" t="s">
        <v>46</v>
      </c>
      <c r="K24" s="98"/>
      <c r="L24" s="98"/>
      <c r="M24" s="58">
        <v>10000000</v>
      </c>
    </row>
    <row r="25" spans="1:14" x14ac:dyDescent="0.25">
      <c r="A25" s="83" t="str">
        <f>D8</f>
        <v xml:space="preserve">Alquiler </v>
      </c>
      <c r="B25" s="34"/>
      <c r="F25" s="88" t="s">
        <v>28</v>
      </c>
      <c r="G25" s="89"/>
      <c r="H25" s="21">
        <v>0.25</v>
      </c>
    </row>
    <row r="26" spans="1:14" x14ac:dyDescent="0.25">
      <c r="A26" s="84"/>
      <c r="B26" s="35"/>
      <c r="F26" s="88" t="s">
        <v>29</v>
      </c>
      <c r="G26" s="89"/>
      <c r="H26" s="22">
        <v>0.25</v>
      </c>
      <c r="J26" s="99" t="s">
        <v>42</v>
      </c>
      <c r="K26" s="99"/>
      <c r="L26" s="99"/>
      <c r="M26" s="52">
        <f>N26+M24</f>
        <v>12000000</v>
      </c>
      <c r="N26" s="10">
        <f>M24*H24</f>
        <v>2000000</v>
      </c>
    </row>
    <row r="27" spans="1:14" ht="15.75" thickBot="1" x14ac:dyDescent="0.3">
      <c r="A27" s="85"/>
      <c r="B27" s="36"/>
      <c r="J27" s="100" t="s">
        <v>43</v>
      </c>
      <c r="K27" s="100"/>
      <c r="L27" s="100"/>
      <c r="M27" s="53">
        <f>N27+M26</f>
        <v>15000000</v>
      </c>
      <c r="N27" s="10">
        <f>M26*H25</f>
        <v>3000000</v>
      </c>
    </row>
    <row r="28" spans="1:14" x14ac:dyDescent="0.25">
      <c r="A28" s="83" t="str">
        <f>D9</f>
        <v>Camion pequeño</v>
      </c>
      <c r="B28" s="34"/>
      <c r="J28" s="100" t="s">
        <v>44</v>
      </c>
      <c r="K28" s="100"/>
      <c r="L28" s="100"/>
      <c r="M28" s="53">
        <f>N28+M27</f>
        <v>18750000</v>
      </c>
      <c r="N28" s="10">
        <f>M27*H26</f>
        <v>3750000</v>
      </c>
    </row>
    <row r="29" spans="1:14" x14ac:dyDescent="0.25">
      <c r="A29" s="84"/>
      <c r="B29" s="35"/>
      <c r="F29" s="91" t="s">
        <v>45</v>
      </c>
      <c r="G29" s="92"/>
      <c r="H29" s="55">
        <f>(1+H24)*(1+H25)*(1+H26)</f>
        <v>1.875</v>
      </c>
    </row>
    <row r="30" spans="1:14" ht="15.75" thickBot="1" x14ac:dyDescent="0.3">
      <c r="A30" s="85"/>
      <c r="B30" s="36"/>
      <c r="L30" s="56" t="s">
        <v>47</v>
      </c>
      <c r="M30" s="57">
        <f>M27-M26</f>
        <v>3000000</v>
      </c>
    </row>
    <row r="31" spans="1:14" ht="15" customHeight="1" x14ac:dyDescent="0.25">
      <c r="A31" s="83" t="str">
        <f>D10</f>
        <v>PVC</v>
      </c>
      <c r="B31" s="34"/>
      <c r="L31" s="1"/>
      <c r="M31" s="6">
        <f>M26*H25</f>
        <v>3000000</v>
      </c>
    </row>
    <row r="32" spans="1:14" x14ac:dyDescent="0.25">
      <c r="A32" s="84"/>
      <c r="B32" s="35"/>
    </row>
    <row r="33" spans="1:14" ht="15.75" thickBot="1" x14ac:dyDescent="0.3">
      <c r="A33" s="85"/>
      <c r="B33" s="36"/>
      <c r="K33" s="95" t="s">
        <v>48</v>
      </c>
      <c r="L33" s="95"/>
      <c r="M33" s="57">
        <f>M28</f>
        <v>18750000</v>
      </c>
      <c r="N33" s="61">
        <f>M24*M35</f>
        <v>18750000</v>
      </c>
    </row>
    <row r="34" spans="1:14" x14ac:dyDescent="0.25">
      <c r="A34" s="83" t="str">
        <f>D11</f>
        <v>Demas materiales</v>
      </c>
      <c r="B34" s="34"/>
      <c r="K34" s="1"/>
      <c r="L34" s="1"/>
      <c r="M34" s="1"/>
    </row>
    <row r="35" spans="1:14" x14ac:dyDescent="0.25">
      <c r="A35" s="84"/>
      <c r="B35" s="35"/>
      <c r="K35" s="95" t="s">
        <v>49</v>
      </c>
      <c r="L35" s="95"/>
      <c r="M35" s="60">
        <f>H29</f>
        <v>1.875</v>
      </c>
    </row>
    <row r="36" spans="1:14" ht="15.75" thickBot="1" x14ac:dyDescent="0.3">
      <c r="A36" s="85"/>
      <c r="B36" s="36"/>
    </row>
    <row r="37" spans="1:14" ht="15" customHeight="1" x14ac:dyDescent="0.25">
      <c r="A37" s="83" t="str">
        <f>D12</f>
        <v>Mano de obra (20)</v>
      </c>
      <c r="B37" s="34"/>
    </row>
    <row r="38" spans="1:14" x14ac:dyDescent="0.25">
      <c r="A38" s="84"/>
      <c r="B38" s="35"/>
    </row>
    <row r="39" spans="1:14" ht="15" customHeight="1" thickBot="1" x14ac:dyDescent="0.3">
      <c r="A39" s="85"/>
      <c r="B39" s="36"/>
    </row>
    <row r="40" spans="1:14" x14ac:dyDescent="0.25">
      <c r="A40" s="83" t="str">
        <f>D13</f>
        <v>2 ingenieros</v>
      </c>
      <c r="B40" s="34"/>
    </row>
    <row r="41" spans="1:14" x14ac:dyDescent="0.25">
      <c r="A41" s="84"/>
      <c r="B41" s="35"/>
    </row>
    <row r="42" spans="1:14" ht="15.75" thickBot="1" x14ac:dyDescent="0.3">
      <c r="A42" s="85"/>
      <c r="B42" s="36"/>
    </row>
    <row r="43" spans="1:14" ht="15" customHeight="1" x14ac:dyDescent="0.25">
      <c r="A43" s="83" t="str">
        <f>D14</f>
        <v>Seguros e impuestos</v>
      </c>
      <c r="B43" s="34"/>
    </row>
    <row r="44" spans="1:14" x14ac:dyDescent="0.25">
      <c r="A44" s="84"/>
      <c r="B44" s="35"/>
    </row>
    <row r="45" spans="1:14" ht="15.75" thickBot="1" x14ac:dyDescent="0.3">
      <c r="A45" s="85"/>
      <c r="B45" s="36"/>
    </row>
    <row r="46" spans="1:14" ht="15" customHeight="1" x14ac:dyDescent="0.25">
      <c r="A46" s="83" t="str">
        <f>D15</f>
        <v>Insumos</v>
      </c>
      <c r="B46" s="34"/>
    </row>
    <row r="47" spans="1:14" x14ac:dyDescent="0.25">
      <c r="A47" s="84"/>
      <c r="B47" s="35"/>
    </row>
    <row r="48" spans="1:14" ht="15.75" thickBot="1" x14ac:dyDescent="0.3">
      <c r="A48" s="85"/>
      <c r="B48" s="36"/>
    </row>
    <row r="49" spans="1:2" x14ac:dyDescent="0.25">
      <c r="A49" s="83" t="s">
        <v>36</v>
      </c>
      <c r="B49" s="34"/>
    </row>
    <row r="50" spans="1:2" x14ac:dyDescent="0.25">
      <c r="A50" s="84"/>
      <c r="B50" s="35"/>
    </row>
    <row r="51" spans="1:2" ht="15.75" thickBot="1" x14ac:dyDescent="0.3">
      <c r="A51" s="85"/>
      <c r="B51" s="36"/>
    </row>
  </sheetData>
  <mergeCells count="38">
    <mergeCell ref="A49:A51"/>
    <mergeCell ref="J24:L24"/>
    <mergeCell ref="J26:L26"/>
    <mergeCell ref="J27:L27"/>
    <mergeCell ref="J28:L28"/>
    <mergeCell ref="F29:G29"/>
    <mergeCell ref="A37:A39"/>
    <mergeCell ref="A40:A42"/>
    <mergeCell ref="A43:A45"/>
    <mergeCell ref="A46:A48"/>
    <mergeCell ref="A25:A27"/>
    <mergeCell ref="F25:G25"/>
    <mergeCell ref="F26:G26"/>
    <mergeCell ref="A28:A30"/>
    <mergeCell ref="A31:A33"/>
    <mergeCell ref="A34:A36"/>
    <mergeCell ref="N15:O15"/>
    <mergeCell ref="A16:B16"/>
    <mergeCell ref="E20:F20"/>
    <mergeCell ref="A22:A24"/>
    <mergeCell ref="F24:G24"/>
    <mergeCell ref="A19:A21"/>
    <mergeCell ref="A18:B18"/>
    <mergeCell ref="K33:L33"/>
    <mergeCell ref="K35:L35"/>
    <mergeCell ref="A11:B11"/>
    <mergeCell ref="A12:B12"/>
    <mergeCell ref="A13:B13"/>
    <mergeCell ref="A15:B15"/>
    <mergeCell ref="N13:O13"/>
    <mergeCell ref="A14:B14"/>
    <mergeCell ref="N14:O14"/>
    <mergeCell ref="A10:B10"/>
    <mergeCell ref="A3:B3"/>
    <mergeCell ref="A4:B4"/>
    <mergeCell ref="A5:B5"/>
    <mergeCell ref="A8:B8"/>
    <mergeCell ref="A9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C22C-5C2B-4136-A670-DF930D7BCB75}">
  <dimension ref="A2:P50"/>
  <sheetViews>
    <sheetView topLeftCell="F1" workbookViewId="0">
      <selection sqref="A1:T50"/>
    </sheetView>
  </sheetViews>
  <sheetFormatPr baseColWidth="10" defaultRowHeight="15" x14ac:dyDescent="0.25"/>
  <cols>
    <col min="3" max="3" width="5.28515625" customWidth="1"/>
    <col min="4" max="4" width="19.140625" customWidth="1"/>
    <col min="5" max="6" width="13.140625" bestFit="1" customWidth="1"/>
    <col min="7" max="7" width="14.140625" bestFit="1" customWidth="1"/>
    <col min="10" max="10" width="15.140625" bestFit="1" customWidth="1"/>
    <col min="11" max="11" width="15.28515625" bestFit="1" customWidth="1"/>
    <col min="12" max="12" width="14.28515625" bestFit="1" customWidth="1"/>
    <col min="13" max="14" width="14.140625" bestFit="1" customWidth="1"/>
  </cols>
  <sheetData>
    <row r="2" spans="1:16" x14ac:dyDescent="0.25">
      <c r="A2" s="87" t="s">
        <v>0</v>
      </c>
      <c r="B2" s="87"/>
      <c r="D2" s="70"/>
      <c r="E2" s="70" t="s">
        <v>1</v>
      </c>
      <c r="F2" s="70" t="s">
        <v>2</v>
      </c>
      <c r="G2" s="70" t="s">
        <v>3</v>
      </c>
      <c r="H2" s="70" t="s">
        <v>4</v>
      </c>
      <c r="I2" s="70" t="s">
        <v>5</v>
      </c>
      <c r="J2" s="71" t="s">
        <v>6</v>
      </c>
      <c r="K2" s="71" t="s">
        <v>7</v>
      </c>
      <c r="L2" s="71" t="s">
        <v>8</v>
      </c>
    </row>
    <row r="3" spans="1:16" x14ac:dyDescent="0.25">
      <c r="A3" s="86" t="s">
        <v>9</v>
      </c>
      <c r="B3" s="86"/>
      <c r="D3" s="62" t="s">
        <v>13</v>
      </c>
      <c r="E3" s="6">
        <v>150000</v>
      </c>
      <c r="F3" s="6">
        <f>((E3-G3)*(I3/H3))+G3</f>
        <v>109500</v>
      </c>
      <c r="G3" s="6">
        <f>0.1*E3</f>
        <v>15000</v>
      </c>
      <c r="H3" s="62">
        <v>10</v>
      </c>
      <c r="I3" s="62">
        <v>7</v>
      </c>
      <c r="J3" s="73"/>
      <c r="K3" s="73">
        <f>((E3-G3)/H3)*(18/12)</f>
        <v>20250</v>
      </c>
      <c r="L3" s="73">
        <f>F3*$P$8</f>
        <v>32850</v>
      </c>
    </row>
    <row r="4" spans="1:16" x14ac:dyDescent="0.25">
      <c r="A4" s="86" t="s">
        <v>9</v>
      </c>
      <c r="B4" s="86"/>
      <c r="D4" s="62" t="s">
        <v>14</v>
      </c>
      <c r="E4" s="6">
        <v>900000</v>
      </c>
      <c r="F4" s="6">
        <f>((E4-G4)*(I4/H4))+G4</f>
        <v>900000</v>
      </c>
      <c r="G4" s="6">
        <f>0.2*E4</f>
        <v>180000</v>
      </c>
      <c r="H4" s="62">
        <v>10</v>
      </c>
      <c r="I4" s="62">
        <v>10</v>
      </c>
      <c r="J4" s="73"/>
      <c r="K4" s="73">
        <f>((E4-G4)/H4)*(18/12)</f>
        <v>108000</v>
      </c>
      <c r="L4" s="73">
        <f>F4*$P$8</f>
        <v>270000</v>
      </c>
    </row>
    <row r="5" spans="1:16" x14ac:dyDescent="0.25">
      <c r="D5" s="63"/>
      <c r="E5" s="6"/>
      <c r="F5" s="6"/>
      <c r="G5" s="6"/>
      <c r="H5" s="62"/>
      <c r="I5" s="62"/>
      <c r="J5" s="73"/>
      <c r="K5" s="73"/>
      <c r="L5" s="73"/>
    </row>
    <row r="6" spans="1:16" x14ac:dyDescent="0.25">
      <c r="D6" s="63"/>
      <c r="E6" s="6"/>
      <c r="F6" s="6" t="s">
        <v>11</v>
      </c>
      <c r="G6" s="6" t="s">
        <v>59</v>
      </c>
      <c r="H6" s="62"/>
      <c r="I6" s="62"/>
      <c r="J6" s="73"/>
      <c r="K6" s="73"/>
      <c r="L6" s="73"/>
      <c r="N6" s="90" t="s">
        <v>62</v>
      </c>
      <c r="O6" s="90"/>
      <c r="P6" s="90"/>
    </row>
    <row r="7" spans="1:16" x14ac:dyDescent="0.25">
      <c r="A7" s="86" t="s">
        <v>35</v>
      </c>
      <c r="B7" s="86"/>
      <c r="D7" s="63" t="s">
        <v>58</v>
      </c>
      <c r="E7" s="6">
        <v>35000</v>
      </c>
      <c r="F7" s="6">
        <f>E7</f>
        <v>35000</v>
      </c>
      <c r="G7" s="6">
        <f>F7*18</f>
        <v>630000</v>
      </c>
      <c r="H7" s="62"/>
      <c r="I7" s="62"/>
      <c r="J7" s="73">
        <f>G7</f>
        <v>630000</v>
      </c>
      <c r="K7" s="73"/>
      <c r="L7" s="73">
        <f>J7*$P$9*($O$16/18)</f>
        <v>26250</v>
      </c>
      <c r="N7" s="96" t="s">
        <v>24</v>
      </c>
      <c r="O7" s="96"/>
      <c r="P7" s="74">
        <f>P12*18/12</f>
        <v>0.15</v>
      </c>
    </row>
    <row r="8" spans="1:16" x14ac:dyDescent="0.25">
      <c r="A8" s="86" t="s">
        <v>35</v>
      </c>
      <c r="B8" s="86"/>
      <c r="D8" s="63" t="s">
        <v>60</v>
      </c>
      <c r="E8" s="6">
        <v>12000</v>
      </c>
      <c r="F8" s="6">
        <f>E8</f>
        <v>12000</v>
      </c>
      <c r="G8" s="6">
        <f>F8*18</f>
        <v>216000</v>
      </c>
      <c r="H8" s="62"/>
      <c r="I8" s="62"/>
      <c r="J8" s="73">
        <f t="shared" ref="J8:J15" si="0">G8</f>
        <v>216000</v>
      </c>
      <c r="K8" s="73"/>
      <c r="L8" s="73">
        <f t="shared" ref="L8:L15" si="1">J8*$P$9*($O$16/18)</f>
        <v>9000</v>
      </c>
      <c r="N8" s="96" t="s">
        <v>25</v>
      </c>
      <c r="O8" s="96"/>
      <c r="P8" s="74">
        <f t="shared" ref="P8:P9" si="2">P13*18/12</f>
        <v>0.3</v>
      </c>
    </row>
    <row r="9" spans="1:16" x14ac:dyDescent="0.25">
      <c r="A9" s="86" t="s">
        <v>35</v>
      </c>
      <c r="B9" s="86"/>
      <c r="D9" s="63" t="s">
        <v>36</v>
      </c>
      <c r="E9" s="6">
        <v>1000000</v>
      </c>
      <c r="F9" s="6"/>
      <c r="G9" s="6">
        <f>E9</f>
        <v>1000000</v>
      </c>
      <c r="H9" s="62"/>
      <c r="I9" s="62"/>
      <c r="J9" s="73">
        <f>G9</f>
        <v>1000000</v>
      </c>
      <c r="K9" s="73"/>
      <c r="L9" s="73">
        <f t="shared" si="1"/>
        <v>41666.666666666664</v>
      </c>
      <c r="N9" s="96" t="s">
        <v>26</v>
      </c>
      <c r="O9" s="96"/>
      <c r="P9" s="74">
        <f t="shared" si="2"/>
        <v>0.375</v>
      </c>
    </row>
    <row r="10" spans="1:16" x14ac:dyDescent="0.25">
      <c r="A10" s="86" t="s">
        <v>35</v>
      </c>
      <c r="B10" s="86"/>
      <c r="D10" s="63" t="s">
        <v>17</v>
      </c>
      <c r="E10" s="6">
        <f>E21</f>
        <v>200000</v>
      </c>
      <c r="F10" s="6"/>
      <c r="G10" s="6">
        <f t="shared" ref="G10:G11" si="3">E10</f>
        <v>200000</v>
      </c>
      <c r="H10" s="62"/>
      <c r="I10" s="62"/>
      <c r="J10" s="73">
        <f t="shared" si="0"/>
        <v>200000</v>
      </c>
      <c r="K10" s="73"/>
      <c r="L10" s="73">
        <f t="shared" si="1"/>
        <v>8333.3333333333321</v>
      </c>
    </row>
    <row r="11" spans="1:16" x14ac:dyDescent="0.25">
      <c r="A11" s="86" t="s">
        <v>35</v>
      </c>
      <c r="B11" s="86"/>
      <c r="D11" s="63" t="s">
        <v>19</v>
      </c>
      <c r="E11" s="6">
        <f>20000*E18</f>
        <v>400000</v>
      </c>
      <c r="F11" s="6"/>
      <c r="G11" s="6">
        <f t="shared" si="3"/>
        <v>400000</v>
      </c>
      <c r="H11" s="62"/>
      <c r="I11" s="62"/>
      <c r="J11" s="73">
        <f t="shared" si="0"/>
        <v>400000</v>
      </c>
      <c r="K11" s="73"/>
      <c r="L11" s="73">
        <f t="shared" si="1"/>
        <v>16666.666666666664</v>
      </c>
      <c r="N11" s="97" t="s">
        <v>39</v>
      </c>
      <c r="O11" s="97"/>
      <c r="P11" s="97"/>
    </row>
    <row r="12" spans="1:16" x14ac:dyDescent="0.25">
      <c r="A12" s="86" t="s">
        <v>35</v>
      </c>
      <c r="B12" s="86"/>
      <c r="D12" s="63" t="s">
        <v>53</v>
      </c>
      <c r="E12" s="6">
        <f>35000+(0.6*35000)</f>
        <v>56000</v>
      </c>
      <c r="F12" s="6">
        <f>E12*20</f>
        <v>1120000</v>
      </c>
      <c r="G12" s="6">
        <f>F12*(18*13/12)</f>
        <v>21840000</v>
      </c>
      <c r="H12" s="62"/>
      <c r="I12" s="62"/>
      <c r="J12" s="73">
        <f>G12</f>
        <v>21840000</v>
      </c>
      <c r="K12" s="73"/>
      <c r="L12" s="73">
        <f t="shared" si="1"/>
        <v>910000</v>
      </c>
      <c r="N12" s="86" t="s">
        <v>24</v>
      </c>
      <c r="O12" s="86"/>
      <c r="P12" s="20">
        <v>0.1</v>
      </c>
    </row>
    <row r="13" spans="1:16" x14ac:dyDescent="0.25">
      <c r="A13" s="86" t="s">
        <v>35</v>
      </c>
      <c r="B13" s="86"/>
      <c r="D13" s="63" t="s">
        <v>21</v>
      </c>
      <c r="E13" s="6">
        <f>55000</f>
        <v>55000</v>
      </c>
      <c r="F13" s="6">
        <f>E13*2</f>
        <v>110000</v>
      </c>
      <c r="G13" s="6">
        <f>F13*18</f>
        <v>1980000</v>
      </c>
      <c r="H13" s="62"/>
      <c r="I13" s="62"/>
      <c r="J13" s="73">
        <f t="shared" si="0"/>
        <v>1980000</v>
      </c>
      <c r="K13" s="73"/>
      <c r="L13" s="73">
        <f t="shared" si="1"/>
        <v>82500</v>
      </c>
      <c r="N13" s="86" t="s">
        <v>25</v>
      </c>
      <c r="O13" s="86"/>
      <c r="P13" s="20">
        <v>0.2</v>
      </c>
    </row>
    <row r="14" spans="1:16" x14ac:dyDescent="0.25">
      <c r="A14" s="86" t="s">
        <v>35</v>
      </c>
      <c r="B14" s="86"/>
      <c r="D14" s="63" t="s">
        <v>22</v>
      </c>
      <c r="E14" s="6">
        <v>10000</v>
      </c>
      <c r="F14" s="6">
        <f>E14/3</f>
        <v>3333.3333333333335</v>
      </c>
      <c r="G14" s="6">
        <f>F14*18</f>
        <v>60000</v>
      </c>
      <c r="H14" s="62"/>
      <c r="I14" s="62"/>
      <c r="J14" s="73">
        <f t="shared" si="0"/>
        <v>60000</v>
      </c>
      <c r="K14" s="73"/>
      <c r="L14" s="73">
        <f t="shared" si="1"/>
        <v>2500</v>
      </c>
      <c r="N14" s="86" t="s">
        <v>26</v>
      </c>
      <c r="O14" s="86"/>
      <c r="P14" s="20">
        <v>0.25</v>
      </c>
    </row>
    <row r="15" spans="1:16" x14ac:dyDescent="0.25">
      <c r="A15" s="86" t="s">
        <v>35</v>
      </c>
      <c r="B15" s="86"/>
      <c r="D15" s="63" t="s">
        <v>23</v>
      </c>
      <c r="E15" s="6">
        <v>1000</v>
      </c>
      <c r="F15" s="6">
        <v>1000</v>
      </c>
      <c r="G15" s="6">
        <f>F15*18</f>
        <v>18000</v>
      </c>
      <c r="H15" s="62"/>
      <c r="I15" s="62"/>
      <c r="J15" s="73">
        <f t="shared" si="0"/>
        <v>18000</v>
      </c>
      <c r="K15" s="73"/>
      <c r="L15" s="73">
        <f t="shared" si="1"/>
        <v>750</v>
      </c>
    </row>
    <row r="16" spans="1:16" ht="15.75" thickBot="1" x14ac:dyDescent="0.3">
      <c r="E16" s="10"/>
      <c r="F16" s="10"/>
      <c r="G16" s="10"/>
      <c r="J16" s="73">
        <f>SUM(J3:J15)</f>
        <v>26344000</v>
      </c>
      <c r="K16" s="73">
        <f>SUM(K3:K15)</f>
        <v>128250</v>
      </c>
      <c r="L16" s="73">
        <f>SUM(L3:L15)</f>
        <v>1400516.6666666667</v>
      </c>
      <c r="N16" s="72" t="s">
        <v>41</v>
      </c>
      <c r="O16" s="72">
        <v>2</v>
      </c>
      <c r="P16" t="s">
        <v>64</v>
      </c>
    </row>
    <row r="17" spans="1:14" ht="15.75" thickBot="1" x14ac:dyDescent="0.3">
      <c r="A17" s="93" t="s">
        <v>31</v>
      </c>
      <c r="B17" s="94"/>
      <c r="E17" s="10"/>
      <c r="F17" s="10"/>
      <c r="G17" s="10"/>
    </row>
    <row r="18" spans="1:14" x14ac:dyDescent="0.25">
      <c r="A18" s="83" t="str">
        <f>D3</f>
        <v>Pala mecanica</v>
      </c>
      <c r="B18" s="34"/>
      <c r="D18" s="69" t="s">
        <v>61</v>
      </c>
      <c r="E18" s="69">
        <v>20</v>
      </c>
      <c r="J18" s="87" t="s">
        <v>46</v>
      </c>
      <c r="K18" s="87"/>
      <c r="L18" s="81">
        <f>SUM(J16:L16)</f>
        <v>27872766.666666668</v>
      </c>
      <c r="M18" s="78" t="s">
        <v>59</v>
      </c>
    </row>
    <row r="19" spans="1:14" x14ac:dyDescent="0.25">
      <c r="A19" s="84"/>
      <c r="B19" s="35"/>
      <c r="D19" s="69" t="s">
        <v>17</v>
      </c>
      <c r="E19" s="69" t="s">
        <v>52</v>
      </c>
      <c r="L19" s="10">
        <f>L18*(12/18)</f>
        <v>18581844.444444444</v>
      </c>
      <c r="M19" t="s">
        <v>30</v>
      </c>
    </row>
    <row r="20" spans="1:14" ht="15.75" thickBot="1" x14ac:dyDescent="0.3">
      <c r="A20" s="85"/>
      <c r="B20" s="36"/>
      <c r="D20" s="65" t="s">
        <v>67</v>
      </c>
      <c r="E20" s="69">
        <f>50*20</f>
        <v>1000</v>
      </c>
    </row>
    <row r="21" spans="1:14" x14ac:dyDescent="0.25">
      <c r="A21" s="83" t="str">
        <f>D4</f>
        <v>Automovil</v>
      </c>
      <c r="B21" s="34"/>
      <c r="D21" s="65" t="s">
        <v>68</v>
      </c>
      <c r="E21" s="6">
        <f>E20*200</f>
        <v>200000</v>
      </c>
      <c r="G21" s="88" t="s">
        <v>27</v>
      </c>
      <c r="H21" s="89"/>
      <c r="I21" s="20">
        <v>0.2</v>
      </c>
      <c r="K21" s="87" t="s">
        <v>55</v>
      </c>
      <c r="L21" s="87"/>
      <c r="M21" s="64">
        <f>N21+L18</f>
        <v>33447320</v>
      </c>
      <c r="N21" s="10">
        <f>L18*I21</f>
        <v>5574553.333333334</v>
      </c>
    </row>
    <row r="22" spans="1:14" x14ac:dyDescent="0.25">
      <c r="A22" s="84"/>
      <c r="B22" s="35"/>
      <c r="G22" s="88" t="s">
        <v>28</v>
      </c>
      <c r="H22" s="89"/>
      <c r="I22" s="21">
        <v>0.25</v>
      </c>
      <c r="K22" s="87" t="s">
        <v>65</v>
      </c>
      <c r="L22" s="87"/>
      <c r="M22" s="64">
        <f>N22+M21</f>
        <v>41809150</v>
      </c>
      <c r="N22" s="10">
        <f>M21*I22</f>
        <v>8361830</v>
      </c>
    </row>
    <row r="23" spans="1:14" ht="15.75" thickBot="1" x14ac:dyDescent="0.3">
      <c r="A23" s="85"/>
      <c r="B23" s="36"/>
      <c r="G23" s="88" t="s">
        <v>29</v>
      </c>
      <c r="H23" s="89"/>
      <c r="I23" s="22">
        <v>0.25</v>
      </c>
      <c r="K23" s="87" t="s">
        <v>66</v>
      </c>
      <c r="L23" s="87"/>
      <c r="M23" s="64">
        <f>N23+M22</f>
        <v>52261437.5</v>
      </c>
      <c r="N23" s="10">
        <f>M22*I23</f>
        <v>10452287.5</v>
      </c>
    </row>
    <row r="24" spans="1:14" x14ac:dyDescent="0.25">
      <c r="A24" s="83" t="str">
        <f>D7</f>
        <v>Alquiler  inmueble</v>
      </c>
      <c r="B24" s="34"/>
    </row>
    <row r="25" spans="1:14" x14ac:dyDescent="0.25">
      <c r="A25" s="84"/>
      <c r="B25" s="35"/>
    </row>
    <row r="26" spans="1:14" ht="15.75" thickBot="1" x14ac:dyDescent="0.3">
      <c r="A26" s="85"/>
      <c r="B26" s="36"/>
      <c r="G26" s="91" t="s">
        <v>45</v>
      </c>
      <c r="H26" s="92"/>
      <c r="I26" s="68">
        <f>(1+I21)*(1+I22)*(1+I23)</f>
        <v>1.875</v>
      </c>
      <c r="K26" t="s">
        <v>54</v>
      </c>
    </row>
    <row r="27" spans="1:14" x14ac:dyDescent="0.25">
      <c r="A27" s="83" t="str">
        <f>D8</f>
        <v>Alquiler camion</v>
      </c>
      <c r="B27" s="34"/>
      <c r="K27" s="87" t="s">
        <v>46</v>
      </c>
      <c r="L27" s="87"/>
      <c r="M27" s="64">
        <v>10000000</v>
      </c>
    </row>
    <row r="28" spans="1:14" x14ac:dyDescent="0.25">
      <c r="A28" s="84"/>
      <c r="B28" s="35"/>
    </row>
    <row r="29" spans="1:14" ht="15.75" thickBot="1" x14ac:dyDescent="0.3">
      <c r="A29" s="85"/>
      <c r="B29" s="36"/>
      <c r="K29" s="87" t="s">
        <v>55</v>
      </c>
      <c r="L29" s="87"/>
      <c r="M29" s="64">
        <f>N29+M27</f>
        <v>12000000</v>
      </c>
      <c r="N29" s="10">
        <f>M27*I21</f>
        <v>2000000</v>
      </c>
    </row>
    <row r="30" spans="1:14" x14ac:dyDescent="0.25">
      <c r="A30" s="83" t="str">
        <f>D9</f>
        <v>Tanque</v>
      </c>
      <c r="B30" s="34"/>
      <c r="K30" s="87" t="s">
        <v>56</v>
      </c>
      <c r="L30" s="87"/>
      <c r="M30" s="64">
        <f>M29+N30</f>
        <v>15000000</v>
      </c>
      <c r="N30" s="10">
        <f>M29*I22</f>
        <v>3000000</v>
      </c>
    </row>
    <row r="31" spans="1:14" x14ac:dyDescent="0.25">
      <c r="A31" s="84"/>
      <c r="B31" s="35"/>
      <c r="K31" s="101" t="s">
        <v>57</v>
      </c>
      <c r="L31" s="101"/>
      <c r="M31" s="66">
        <f>M30+N31</f>
        <v>18750000</v>
      </c>
      <c r="N31" s="10">
        <f>M30*I23</f>
        <v>3750000</v>
      </c>
    </row>
    <row r="32" spans="1:14" ht="15.75" thickBot="1" x14ac:dyDescent="0.3">
      <c r="A32" s="85"/>
      <c r="B32" s="36"/>
      <c r="K32" t="s">
        <v>63</v>
      </c>
    </row>
    <row r="33" spans="1:13" x14ac:dyDescent="0.25">
      <c r="A33" s="83" t="str">
        <f>D10</f>
        <v>PVC</v>
      </c>
      <c r="B33" s="34"/>
    </row>
    <row r="34" spans="1:13" x14ac:dyDescent="0.25">
      <c r="A34" s="84"/>
      <c r="B34" s="35"/>
      <c r="K34" s="101" t="s">
        <v>47</v>
      </c>
      <c r="L34" s="101"/>
      <c r="M34" s="66">
        <f>M30-M29</f>
        <v>3000000</v>
      </c>
    </row>
    <row r="35" spans="1:13" ht="15.75" thickBot="1" x14ac:dyDescent="0.3">
      <c r="A35" s="85"/>
      <c r="B35" s="36"/>
      <c r="M35" s="66">
        <f>M29*I22</f>
        <v>3000000</v>
      </c>
    </row>
    <row r="36" spans="1:13" x14ac:dyDescent="0.25">
      <c r="A36" s="83" t="str">
        <f>D11</f>
        <v>Demas materiales</v>
      </c>
      <c r="B36" s="34"/>
    </row>
    <row r="37" spans="1:13" x14ac:dyDescent="0.25">
      <c r="A37" s="84"/>
      <c r="B37" s="35"/>
      <c r="K37" s="67">
        <f>M27*I26</f>
        <v>18750000</v>
      </c>
    </row>
    <row r="38" spans="1:13" ht="15.75" thickBot="1" x14ac:dyDescent="0.3">
      <c r="A38" s="85"/>
      <c r="B38" s="36"/>
    </row>
    <row r="39" spans="1:13" x14ac:dyDescent="0.25">
      <c r="A39" s="83" t="str">
        <f>D12</f>
        <v>20 operarios</v>
      </c>
      <c r="B39" s="34"/>
    </row>
    <row r="40" spans="1:13" x14ac:dyDescent="0.25">
      <c r="A40" s="84"/>
      <c r="B40" s="35"/>
    </row>
    <row r="41" spans="1:13" ht="15.75" thickBot="1" x14ac:dyDescent="0.3">
      <c r="A41" s="85"/>
      <c r="B41" s="36"/>
    </row>
    <row r="42" spans="1:13" x14ac:dyDescent="0.25">
      <c r="A42" s="83" t="str">
        <f>D13</f>
        <v>2 ingenieros</v>
      </c>
      <c r="B42" s="34"/>
    </row>
    <row r="43" spans="1:13" x14ac:dyDescent="0.25">
      <c r="A43" s="84"/>
      <c r="B43" s="35"/>
    </row>
    <row r="44" spans="1:13" ht="15.75" thickBot="1" x14ac:dyDescent="0.3">
      <c r="A44" s="85"/>
      <c r="B44" s="36"/>
    </row>
    <row r="45" spans="1:13" x14ac:dyDescent="0.25">
      <c r="A45" s="83" t="str">
        <f>D14</f>
        <v>Seguros e impuestos</v>
      </c>
      <c r="B45" s="34"/>
    </row>
    <row r="46" spans="1:13" x14ac:dyDescent="0.25">
      <c r="A46" s="84"/>
      <c r="B46" s="35"/>
    </row>
    <row r="47" spans="1:13" ht="15.75" thickBot="1" x14ac:dyDescent="0.3">
      <c r="A47" s="85"/>
      <c r="B47" s="36"/>
    </row>
    <row r="48" spans="1:13" x14ac:dyDescent="0.25">
      <c r="A48" s="83" t="s">
        <v>36</v>
      </c>
      <c r="B48" s="34"/>
    </row>
    <row r="49" spans="1:2" x14ac:dyDescent="0.25">
      <c r="A49" s="84"/>
      <c r="B49" s="35"/>
    </row>
    <row r="50" spans="1:2" ht="15.75" thickBot="1" x14ac:dyDescent="0.3">
      <c r="A50" s="85"/>
      <c r="B50" s="36"/>
    </row>
  </sheetData>
  <mergeCells count="45">
    <mergeCell ref="K27:L27"/>
    <mergeCell ref="K29:L29"/>
    <mergeCell ref="K30:L30"/>
    <mergeCell ref="K31:L31"/>
    <mergeCell ref="K34:L34"/>
    <mergeCell ref="G26:H26"/>
    <mergeCell ref="J18:K18"/>
    <mergeCell ref="N6:P6"/>
    <mergeCell ref="N7:O7"/>
    <mergeCell ref="N8:O8"/>
    <mergeCell ref="N9:O9"/>
    <mergeCell ref="N11:P11"/>
    <mergeCell ref="N12:O12"/>
    <mergeCell ref="K22:L22"/>
    <mergeCell ref="K21:L21"/>
    <mergeCell ref="K23:L23"/>
    <mergeCell ref="N13:O13"/>
    <mergeCell ref="N14:O14"/>
    <mergeCell ref="G21:H21"/>
    <mergeCell ref="G22:H22"/>
    <mergeCell ref="G23:H23"/>
    <mergeCell ref="A36:A38"/>
    <mergeCell ref="A39:A41"/>
    <mergeCell ref="A42:A44"/>
    <mergeCell ref="A17:B17"/>
    <mergeCell ref="A18:A20"/>
    <mergeCell ref="A21:A23"/>
    <mergeCell ref="A24:A26"/>
    <mergeCell ref="A27:A29"/>
    <mergeCell ref="A45:A47"/>
    <mergeCell ref="A48:A50"/>
    <mergeCell ref="A2:B2"/>
    <mergeCell ref="A3:B3"/>
    <mergeCell ref="A4:B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0:A32"/>
    <mergeCell ref="A33:A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9059-25E6-4927-8B9E-98856BDA7F61}">
  <dimension ref="A2:P50"/>
  <sheetViews>
    <sheetView workbookViewId="0">
      <selection activeCell="G15" sqref="G15"/>
    </sheetView>
  </sheetViews>
  <sheetFormatPr baseColWidth="10" defaultRowHeight="15" x14ac:dyDescent="0.25"/>
  <cols>
    <col min="3" max="3" width="4.42578125" customWidth="1"/>
    <col min="4" max="4" width="19.42578125" customWidth="1"/>
    <col min="5" max="6" width="13.140625" bestFit="1" customWidth="1"/>
    <col min="7" max="7" width="14.140625" bestFit="1" customWidth="1"/>
    <col min="11" max="11" width="15.140625" bestFit="1" customWidth="1"/>
    <col min="12" max="13" width="14.140625" bestFit="1" customWidth="1"/>
    <col min="14" max="14" width="13.140625" bestFit="1" customWidth="1"/>
  </cols>
  <sheetData>
    <row r="2" spans="1:16" x14ac:dyDescent="0.25">
      <c r="A2" s="87" t="s">
        <v>0</v>
      </c>
      <c r="B2" s="87"/>
      <c r="D2" s="70"/>
      <c r="E2" s="70" t="s">
        <v>1</v>
      </c>
      <c r="F2" s="70" t="s">
        <v>2</v>
      </c>
      <c r="G2" s="70" t="s">
        <v>3</v>
      </c>
      <c r="H2" s="70" t="s">
        <v>4</v>
      </c>
      <c r="I2" s="70" t="s">
        <v>5</v>
      </c>
      <c r="J2" s="71" t="s">
        <v>6</v>
      </c>
      <c r="K2" s="71" t="s">
        <v>7</v>
      </c>
      <c r="L2" s="71" t="s">
        <v>8</v>
      </c>
    </row>
    <row r="3" spans="1:16" x14ac:dyDescent="0.25">
      <c r="A3" s="86" t="s">
        <v>9</v>
      </c>
      <c r="B3" s="86"/>
      <c r="D3" s="69" t="s">
        <v>13</v>
      </c>
      <c r="E3" s="6">
        <v>150000</v>
      </c>
      <c r="F3" s="6">
        <f>((E3-G3)*(I3/H3))+G3</f>
        <v>109500</v>
      </c>
      <c r="G3" s="6">
        <f>0.1*E3</f>
        <v>15000</v>
      </c>
      <c r="H3" s="69">
        <v>10</v>
      </c>
      <c r="I3" s="69">
        <v>7</v>
      </c>
      <c r="J3" s="73"/>
      <c r="K3" s="73">
        <f>((E3-G3)/H3)</f>
        <v>13500</v>
      </c>
      <c r="L3" s="73">
        <f>F3*$P$13</f>
        <v>21900</v>
      </c>
    </row>
    <row r="4" spans="1:16" x14ac:dyDescent="0.25">
      <c r="A4" s="86" t="s">
        <v>9</v>
      </c>
      <c r="B4" s="86"/>
      <c r="D4" s="69" t="s">
        <v>14</v>
      </c>
      <c r="E4" s="6">
        <v>900000</v>
      </c>
      <c r="F4" s="6">
        <f>((E4-G4)*(I4/H4))+G4</f>
        <v>900000</v>
      </c>
      <c r="G4" s="6">
        <f>0.2*E4</f>
        <v>180000</v>
      </c>
      <c r="H4" s="69">
        <v>10</v>
      </c>
      <c r="I4" s="69">
        <v>10</v>
      </c>
      <c r="J4" s="73"/>
      <c r="K4" s="73">
        <f>((E4-G4)/H4)</f>
        <v>72000</v>
      </c>
      <c r="L4" s="73">
        <f>F4*$P$13</f>
        <v>180000</v>
      </c>
    </row>
    <row r="5" spans="1:16" x14ac:dyDescent="0.25">
      <c r="D5" s="69"/>
      <c r="E5" s="6"/>
      <c r="F5" s="6"/>
      <c r="G5" s="6"/>
      <c r="H5" s="69"/>
      <c r="I5" s="69"/>
      <c r="J5" s="73"/>
      <c r="K5" s="73"/>
      <c r="L5" s="73"/>
    </row>
    <row r="6" spans="1:16" x14ac:dyDescent="0.25">
      <c r="D6" s="69"/>
      <c r="E6" s="6"/>
      <c r="F6" s="6" t="s">
        <v>11</v>
      </c>
      <c r="G6" s="6" t="s">
        <v>30</v>
      </c>
      <c r="H6" s="69"/>
      <c r="I6" s="69"/>
      <c r="J6" s="73"/>
      <c r="K6" s="73"/>
      <c r="L6" s="73"/>
      <c r="N6" s="97" t="s">
        <v>62</v>
      </c>
      <c r="O6" s="97"/>
      <c r="P6" s="97"/>
    </row>
    <row r="7" spans="1:16" x14ac:dyDescent="0.25">
      <c r="A7" s="86" t="s">
        <v>35</v>
      </c>
      <c r="B7" s="86"/>
      <c r="D7" s="69" t="s">
        <v>58</v>
      </c>
      <c r="E7" s="6">
        <v>35000</v>
      </c>
      <c r="F7" s="6">
        <f>E7</f>
        <v>35000</v>
      </c>
      <c r="G7" s="6">
        <f>F7*12</f>
        <v>420000</v>
      </c>
      <c r="H7" s="69"/>
      <c r="I7" s="69"/>
      <c r="J7" s="73">
        <f>G7</f>
        <v>420000</v>
      </c>
      <c r="K7" s="73"/>
      <c r="L7" s="73">
        <f>J7*$P$14*($O$16/12)</f>
        <v>17500</v>
      </c>
      <c r="N7" s="86" t="s">
        <v>24</v>
      </c>
      <c r="O7" s="86"/>
      <c r="P7" s="20">
        <f>P12*(12/18)</f>
        <v>6.6666666666666666E-2</v>
      </c>
    </row>
    <row r="8" spans="1:16" x14ac:dyDescent="0.25">
      <c r="A8" s="86" t="s">
        <v>35</v>
      </c>
      <c r="B8" s="86"/>
      <c r="D8" s="69" t="s">
        <v>60</v>
      </c>
      <c r="E8" s="6">
        <v>12000</v>
      </c>
      <c r="F8" s="6">
        <f>E8</f>
        <v>12000</v>
      </c>
      <c r="G8" s="6">
        <f>F8*12</f>
        <v>144000</v>
      </c>
      <c r="H8" s="69"/>
      <c r="I8" s="69"/>
      <c r="J8" s="73">
        <f t="shared" ref="J8:J15" si="0">G8</f>
        <v>144000</v>
      </c>
      <c r="K8" s="73"/>
      <c r="L8" s="73">
        <f t="shared" ref="L8:L15" si="1">J8*$P$14*($O$16/12)</f>
        <v>6000</v>
      </c>
      <c r="N8" s="86" t="s">
        <v>25</v>
      </c>
      <c r="O8" s="86"/>
      <c r="P8" s="20">
        <f t="shared" ref="P8:P9" si="2">P13*(12/18)</f>
        <v>0.13333333333333333</v>
      </c>
    </row>
    <row r="9" spans="1:16" x14ac:dyDescent="0.25">
      <c r="A9" s="86" t="s">
        <v>35</v>
      </c>
      <c r="B9" s="86"/>
      <c r="D9" s="69" t="s">
        <v>36</v>
      </c>
      <c r="E9" s="6">
        <v>1000000</v>
      </c>
      <c r="F9" s="6"/>
      <c r="G9" s="6">
        <f>E9*(12/18)</f>
        <v>666666.66666666663</v>
      </c>
      <c r="H9" s="69"/>
      <c r="I9" s="69"/>
      <c r="J9" s="73">
        <f t="shared" si="0"/>
        <v>666666.66666666663</v>
      </c>
      <c r="K9" s="73"/>
      <c r="L9" s="73">
        <f t="shared" si="1"/>
        <v>27777.777777777774</v>
      </c>
      <c r="N9" s="106" t="s">
        <v>26</v>
      </c>
      <c r="O9" s="107"/>
      <c r="P9" s="20">
        <f t="shared" si="2"/>
        <v>0.16666666666666666</v>
      </c>
    </row>
    <row r="10" spans="1:16" x14ac:dyDescent="0.25">
      <c r="A10" s="86" t="s">
        <v>35</v>
      </c>
      <c r="B10" s="86"/>
      <c r="D10" s="69" t="s">
        <v>17</v>
      </c>
      <c r="E10" s="6">
        <f>E21</f>
        <v>200000</v>
      </c>
      <c r="F10" s="6"/>
      <c r="G10" s="6">
        <f t="shared" ref="G10:G11" si="3">E10*(12/18)</f>
        <v>133333.33333333331</v>
      </c>
      <c r="H10" s="69"/>
      <c r="I10" s="69"/>
      <c r="J10" s="73">
        <f t="shared" si="0"/>
        <v>133333.33333333331</v>
      </c>
      <c r="K10" s="73"/>
      <c r="L10" s="73">
        <f t="shared" si="1"/>
        <v>5555.5555555555547</v>
      </c>
    </row>
    <row r="11" spans="1:16" x14ac:dyDescent="0.25">
      <c r="A11" s="86" t="s">
        <v>35</v>
      </c>
      <c r="B11" s="86"/>
      <c r="D11" s="69" t="s">
        <v>19</v>
      </c>
      <c r="E11" s="6">
        <f>20000*E18</f>
        <v>400000</v>
      </c>
      <c r="F11" s="6"/>
      <c r="G11" s="6">
        <f t="shared" si="3"/>
        <v>266666.66666666663</v>
      </c>
      <c r="H11" s="69"/>
      <c r="I11" s="69"/>
      <c r="J11" s="73">
        <f t="shared" si="0"/>
        <v>266666.66666666663</v>
      </c>
      <c r="K11" s="73"/>
      <c r="L11" s="73">
        <f t="shared" si="1"/>
        <v>11111.111111111109</v>
      </c>
      <c r="N11" s="90" t="s">
        <v>39</v>
      </c>
      <c r="O11" s="90"/>
      <c r="P11" s="90"/>
    </row>
    <row r="12" spans="1:16" x14ac:dyDescent="0.25">
      <c r="A12" s="86" t="s">
        <v>35</v>
      </c>
      <c r="B12" s="86"/>
      <c r="D12" s="69" t="s">
        <v>53</v>
      </c>
      <c r="E12" s="6">
        <f>35000+(0.6*35000)</f>
        <v>56000</v>
      </c>
      <c r="F12" s="6">
        <f>E12*20</f>
        <v>1120000</v>
      </c>
      <c r="G12" s="6">
        <f>F12*13</f>
        <v>14560000</v>
      </c>
      <c r="H12" s="69"/>
      <c r="I12" s="69"/>
      <c r="J12" s="73">
        <f>G12</f>
        <v>14560000</v>
      </c>
      <c r="K12" s="73"/>
      <c r="L12" s="73">
        <f t="shared" si="1"/>
        <v>606666.66666666663</v>
      </c>
      <c r="N12" s="104" t="s">
        <v>24</v>
      </c>
      <c r="O12" s="105"/>
      <c r="P12" s="74">
        <v>0.1</v>
      </c>
    </row>
    <row r="13" spans="1:16" x14ac:dyDescent="0.25">
      <c r="A13" s="86" t="s">
        <v>35</v>
      </c>
      <c r="B13" s="86"/>
      <c r="D13" s="69" t="s">
        <v>21</v>
      </c>
      <c r="E13" s="6">
        <f>55000</f>
        <v>55000</v>
      </c>
      <c r="F13" s="6">
        <f>E13*2</f>
        <v>110000</v>
      </c>
      <c r="G13" s="6">
        <f>F13*12</f>
        <v>1320000</v>
      </c>
      <c r="H13" s="69"/>
      <c r="I13" s="69"/>
      <c r="J13" s="73">
        <f t="shared" si="0"/>
        <v>1320000</v>
      </c>
      <c r="K13" s="73"/>
      <c r="L13" s="73">
        <f t="shared" si="1"/>
        <v>55000</v>
      </c>
      <c r="N13" s="104" t="s">
        <v>25</v>
      </c>
      <c r="O13" s="105"/>
      <c r="P13" s="74">
        <v>0.2</v>
      </c>
    </row>
    <row r="14" spans="1:16" x14ac:dyDescent="0.25">
      <c r="A14" s="86" t="s">
        <v>35</v>
      </c>
      <c r="B14" s="86"/>
      <c r="D14" s="69" t="s">
        <v>22</v>
      </c>
      <c r="E14" s="6">
        <v>10000</v>
      </c>
      <c r="F14" s="6">
        <f>E14/3</f>
        <v>3333.3333333333335</v>
      </c>
      <c r="G14" s="6">
        <f>F14*12</f>
        <v>40000</v>
      </c>
      <c r="H14" s="69"/>
      <c r="I14" s="69"/>
      <c r="J14" s="73">
        <f t="shared" si="0"/>
        <v>40000</v>
      </c>
      <c r="K14" s="73"/>
      <c r="L14" s="73">
        <f t="shared" si="1"/>
        <v>1666.6666666666665</v>
      </c>
      <c r="N14" s="104" t="s">
        <v>26</v>
      </c>
      <c r="O14" s="105"/>
      <c r="P14" s="74">
        <v>0.25</v>
      </c>
    </row>
    <row r="15" spans="1:16" x14ac:dyDescent="0.25">
      <c r="A15" s="86" t="s">
        <v>35</v>
      </c>
      <c r="B15" s="86"/>
      <c r="D15" s="69" t="s">
        <v>23</v>
      </c>
      <c r="E15" s="6">
        <v>1000</v>
      </c>
      <c r="F15" s="6">
        <v>1000</v>
      </c>
      <c r="G15" s="6">
        <f t="shared" ref="G14:G15" si="4">F15*12</f>
        <v>12000</v>
      </c>
      <c r="H15" s="69"/>
      <c r="I15" s="69"/>
      <c r="J15" s="73">
        <f t="shared" si="0"/>
        <v>12000</v>
      </c>
      <c r="K15" s="73"/>
      <c r="L15" s="73">
        <f t="shared" si="1"/>
        <v>500</v>
      </c>
    </row>
    <row r="16" spans="1:16" ht="15.75" thickBot="1" x14ac:dyDescent="0.3">
      <c r="E16" s="10"/>
      <c r="F16" s="10"/>
      <c r="G16" s="10"/>
      <c r="J16" s="73">
        <f>SUM(J3:J15)</f>
        <v>17562666.666666664</v>
      </c>
      <c r="K16" s="73">
        <f t="shared" ref="K16:L16" si="5">SUM(K3:K15)</f>
        <v>85500</v>
      </c>
      <c r="L16" s="73">
        <f t="shared" si="5"/>
        <v>933677.77777777764</v>
      </c>
      <c r="N16" s="72" t="s">
        <v>41</v>
      </c>
      <c r="O16" s="72">
        <v>2</v>
      </c>
      <c r="P16" t="s">
        <v>64</v>
      </c>
    </row>
    <row r="17" spans="1:14" ht="15.75" thickBot="1" x14ac:dyDescent="0.3">
      <c r="A17" s="93" t="s">
        <v>31</v>
      </c>
      <c r="B17" s="94"/>
      <c r="E17" s="10"/>
      <c r="F17" s="10"/>
      <c r="G17" s="10"/>
    </row>
    <row r="18" spans="1:14" x14ac:dyDescent="0.25">
      <c r="A18" s="83" t="str">
        <f>D3</f>
        <v>Pala mecanica</v>
      </c>
      <c r="B18" s="34"/>
      <c r="D18" s="69" t="s">
        <v>61</v>
      </c>
      <c r="E18" s="69">
        <v>20</v>
      </c>
      <c r="J18" s="88" t="s">
        <v>46</v>
      </c>
      <c r="K18" s="89"/>
      <c r="L18" s="82">
        <f>SUM(J16:L16)</f>
        <v>18581844.44444444</v>
      </c>
      <c r="M18" t="s">
        <v>30</v>
      </c>
    </row>
    <row r="19" spans="1:14" x14ac:dyDescent="0.25">
      <c r="A19" s="84"/>
      <c r="B19" s="35"/>
      <c r="D19" s="69" t="s">
        <v>17</v>
      </c>
      <c r="E19" s="69" t="s">
        <v>52</v>
      </c>
      <c r="L19" s="81">
        <f>L18*(18/12)</f>
        <v>27872766.66666666</v>
      </c>
      <c r="M19" s="78" t="s">
        <v>59</v>
      </c>
    </row>
    <row r="20" spans="1:14" ht="15.75" thickBot="1" x14ac:dyDescent="0.3">
      <c r="A20" s="85"/>
      <c r="B20" s="36"/>
      <c r="D20" s="65" t="s">
        <v>67</v>
      </c>
      <c r="E20" s="69">
        <f>50*20</f>
        <v>1000</v>
      </c>
    </row>
    <row r="21" spans="1:14" x14ac:dyDescent="0.25">
      <c r="A21" s="83" t="str">
        <f>D4</f>
        <v>Automovil</v>
      </c>
      <c r="B21" s="34"/>
      <c r="D21" s="65" t="s">
        <v>68</v>
      </c>
      <c r="E21" s="6">
        <f>E20*200</f>
        <v>200000</v>
      </c>
      <c r="G21" s="88" t="s">
        <v>27</v>
      </c>
      <c r="H21" s="89"/>
      <c r="I21" s="20">
        <v>0.2</v>
      </c>
      <c r="K21" s="88" t="s">
        <v>55</v>
      </c>
      <c r="L21" s="89"/>
      <c r="M21" s="64">
        <f>N21+L18</f>
        <v>22298213.333333328</v>
      </c>
      <c r="N21" s="10">
        <f>L18*I21</f>
        <v>3716368.8888888881</v>
      </c>
    </row>
    <row r="22" spans="1:14" x14ac:dyDescent="0.25">
      <c r="A22" s="84"/>
      <c r="B22" s="35"/>
      <c r="G22" s="88" t="s">
        <v>28</v>
      </c>
      <c r="H22" s="89"/>
      <c r="I22" s="21">
        <v>0.25</v>
      </c>
      <c r="K22" s="88" t="s">
        <v>65</v>
      </c>
      <c r="L22" s="89"/>
      <c r="M22" s="64">
        <f>N22+M21</f>
        <v>27872766.66666666</v>
      </c>
      <c r="N22" s="10">
        <f>M21*I22</f>
        <v>5574553.3333333321</v>
      </c>
    </row>
    <row r="23" spans="1:14" ht="15.75" thickBot="1" x14ac:dyDescent="0.3">
      <c r="A23" s="85"/>
      <c r="B23" s="36"/>
      <c r="G23" s="88" t="s">
        <v>29</v>
      </c>
      <c r="H23" s="89"/>
      <c r="I23" s="22">
        <v>0.25</v>
      </c>
      <c r="K23" s="88" t="s">
        <v>66</v>
      </c>
      <c r="L23" s="89"/>
      <c r="M23" s="64">
        <f>N23+M22</f>
        <v>34840958.333333328</v>
      </c>
      <c r="N23" s="10">
        <f>M22*I23</f>
        <v>6968191.6666666651</v>
      </c>
    </row>
    <row r="24" spans="1:14" x14ac:dyDescent="0.25">
      <c r="A24" s="83" t="str">
        <f>D7</f>
        <v>Alquiler  inmueble</v>
      </c>
      <c r="B24" s="34"/>
    </row>
    <row r="25" spans="1:14" x14ac:dyDescent="0.25">
      <c r="A25" s="84"/>
      <c r="B25" s="35"/>
    </row>
    <row r="26" spans="1:14" ht="15.75" customHeight="1" thickBot="1" x14ac:dyDescent="0.3">
      <c r="A26" s="85"/>
      <c r="B26" s="36"/>
      <c r="G26" s="91" t="s">
        <v>45</v>
      </c>
      <c r="H26" s="92"/>
      <c r="I26" s="68">
        <f>(1+I21)*(1+I22)*(1+I23)</f>
        <v>1.875</v>
      </c>
      <c r="K26" t="s">
        <v>54</v>
      </c>
    </row>
    <row r="27" spans="1:14" x14ac:dyDescent="0.25">
      <c r="A27" s="83" t="str">
        <f>D8</f>
        <v>Alquiler camion</v>
      </c>
      <c r="B27" s="34"/>
      <c r="K27" s="88" t="s">
        <v>46</v>
      </c>
      <c r="L27" s="89"/>
      <c r="M27" s="64">
        <v>10000000</v>
      </c>
    </row>
    <row r="28" spans="1:14" x14ac:dyDescent="0.25">
      <c r="A28" s="84"/>
      <c r="B28" s="35"/>
    </row>
    <row r="29" spans="1:14" ht="15.75" thickBot="1" x14ac:dyDescent="0.3">
      <c r="A29" s="85"/>
      <c r="B29" s="36"/>
      <c r="K29" s="88" t="s">
        <v>55</v>
      </c>
      <c r="L29" s="89"/>
      <c r="M29" s="64">
        <f>N29+M27</f>
        <v>12000000</v>
      </c>
      <c r="N29" s="10">
        <f>M27*I21</f>
        <v>2000000</v>
      </c>
    </row>
    <row r="30" spans="1:14" x14ac:dyDescent="0.25">
      <c r="A30" s="83" t="str">
        <f>D9</f>
        <v>Tanque</v>
      </c>
      <c r="B30" s="34"/>
      <c r="K30" s="88" t="s">
        <v>56</v>
      </c>
      <c r="L30" s="89"/>
      <c r="M30" s="64">
        <f>M29+N30</f>
        <v>15000000</v>
      </c>
      <c r="N30" s="10">
        <f>M29*I22</f>
        <v>3000000</v>
      </c>
    </row>
    <row r="31" spans="1:14" x14ac:dyDescent="0.25">
      <c r="A31" s="84"/>
      <c r="B31" s="35"/>
      <c r="K31" s="102" t="s">
        <v>57</v>
      </c>
      <c r="L31" s="103"/>
      <c r="M31" s="66">
        <f>M30+N31</f>
        <v>18750000</v>
      </c>
      <c r="N31" s="10">
        <f>M30*I23</f>
        <v>3750000</v>
      </c>
    </row>
    <row r="32" spans="1:14" ht="15.75" customHeight="1" thickBot="1" x14ac:dyDescent="0.3">
      <c r="A32" s="85"/>
      <c r="B32" s="36"/>
      <c r="K32" t="s">
        <v>63</v>
      </c>
    </row>
    <row r="33" spans="1:13" x14ac:dyDescent="0.25">
      <c r="A33" s="83" t="str">
        <f>D10</f>
        <v>PVC</v>
      </c>
      <c r="B33" s="34"/>
    </row>
    <row r="34" spans="1:13" ht="15.75" customHeight="1" x14ac:dyDescent="0.25">
      <c r="A34" s="84"/>
      <c r="B34" s="35"/>
      <c r="K34" s="102" t="s">
        <v>47</v>
      </c>
      <c r="L34" s="103"/>
      <c r="M34" s="66">
        <f>M30-M29</f>
        <v>3000000</v>
      </c>
    </row>
    <row r="35" spans="1:13" ht="15.75" customHeight="1" thickBot="1" x14ac:dyDescent="0.3">
      <c r="A35" s="85"/>
      <c r="B35" s="36"/>
      <c r="M35" s="66">
        <f>M29*I22</f>
        <v>3000000</v>
      </c>
    </row>
    <row r="36" spans="1:13" x14ac:dyDescent="0.25">
      <c r="A36" s="83" t="str">
        <f>D11</f>
        <v>Demas materiales</v>
      </c>
      <c r="B36" s="34"/>
    </row>
    <row r="37" spans="1:13" x14ac:dyDescent="0.25">
      <c r="A37" s="84"/>
      <c r="B37" s="35"/>
      <c r="K37" s="67">
        <f>M27*I26</f>
        <v>18750000</v>
      </c>
    </row>
    <row r="38" spans="1:13" ht="15.75" thickBot="1" x14ac:dyDescent="0.3">
      <c r="A38" s="85"/>
      <c r="B38" s="36"/>
    </row>
    <row r="39" spans="1:13" x14ac:dyDescent="0.25">
      <c r="A39" s="83" t="str">
        <f>D12</f>
        <v>20 operarios</v>
      </c>
      <c r="B39" s="34"/>
    </row>
    <row r="40" spans="1:13" x14ac:dyDescent="0.25">
      <c r="A40" s="84"/>
      <c r="B40" s="35"/>
    </row>
    <row r="41" spans="1:13" ht="15.75" thickBot="1" x14ac:dyDescent="0.3">
      <c r="A41" s="85"/>
      <c r="B41" s="36"/>
    </row>
    <row r="42" spans="1:13" x14ac:dyDescent="0.25">
      <c r="A42" s="83" t="str">
        <f>D13</f>
        <v>2 ingenieros</v>
      </c>
      <c r="B42" s="34"/>
    </row>
    <row r="43" spans="1:13" x14ac:dyDescent="0.25">
      <c r="A43" s="84"/>
      <c r="B43" s="35"/>
    </row>
    <row r="44" spans="1:13" ht="15.75" customHeight="1" thickBot="1" x14ac:dyDescent="0.3">
      <c r="A44" s="85"/>
      <c r="B44" s="36"/>
    </row>
    <row r="45" spans="1:13" x14ac:dyDescent="0.25">
      <c r="A45" s="83" t="str">
        <f>D14</f>
        <v>Seguros e impuestos</v>
      </c>
      <c r="B45" s="34"/>
    </row>
    <row r="46" spans="1:13" x14ac:dyDescent="0.25">
      <c r="A46" s="84"/>
      <c r="B46" s="35"/>
    </row>
    <row r="47" spans="1:13" ht="15.75" customHeight="1" thickBot="1" x14ac:dyDescent="0.3">
      <c r="A47" s="85"/>
      <c r="B47" s="36"/>
    </row>
    <row r="48" spans="1:13" x14ac:dyDescent="0.25">
      <c r="A48" s="83" t="s">
        <v>36</v>
      </c>
      <c r="B48" s="34"/>
    </row>
    <row r="49" spans="1:2" x14ac:dyDescent="0.25">
      <c r="A49" s="84"/>
      <c r="B49" s="35"/>
    </row>
    <row r="50" spans="1:2" ht="15.75" customHeight="1" thickBot="1" x14ac:dyDescent="0.3">
      <c r="A50" s="85"/>
      <c r="B50" s="36"/>
    </row>
  </sheetData>
  <mergeCells count="45">
    <mergeCell ref="A11:B11"/>
    <mergeCell ref="N11:P11"/>
    <mergeCell ref="A2:B2"/>
    <mergeCell ref="A3:B3"/>
    <mergeCell ref="A4:B4"/>
    <mergeCell ref="N6:P6"/>
    <mergeCell ref="A7:B7"/>
    <mergeCell ref="N7:O7"/>
    <mergeCell ref="A8:B8"/>
    <mergeCell ref="N8:O8"/>
    <mergeCell ref="A9:B9"/>
    <mergeCell ref="N9:O9"/>
    <mergeCell ref="A10:B10"/>
    <mergeCell ref="A12:B12"/>
    <mergeCell ref="N12:O12"/>
    <mergeCell ref="A13:B13"/>
    <mergeCell ref="N13:O13"/>
    <mergeCell ref="A14:B14"/>
    <mergeCell ref="N14:O14"/>
    <mergeCell ref="A15:B15"/>
    <mergeCell ref="A17:B17"/>
    <mergeCell ref="A18:A20"/>
    <mergeCell ref="J18:K18"/>
    <mergeCell ref="A21:A23"/>
    <mergeCell ref="G21:H21"/>
    <mergeCell ref="K21:L21"/>
    <mergeCell ref="G22:H22"/>
    <mergeCell ref="K22:L22"/>
    <mergeCell ref="G23:H23"/>
    <mergeCell ref="K23:L23"/>
    <mergeCell ref="A24:A26"/>
    <mergeCell ref="G26:H26"/>
    <mergeCell ref="A27:A29"/>
    <mergeCell ref="K27:L27"/>
    <mergeCell ref="K29:L29"/>
    <mergeCell ref="K30:L30"/>
    <mergeCell ref="K31:L31"/>
    <mergeCell ref="A33:A35"/>
    <mergeCell ref="K34:L34"/>
    <mergeCell ref="A36:A38"/>
    <mergeCell ref="A39:A41"/>
    <mergeCell ref="A42:A44"/>
    <mergeCell ref="A45:A47"/>
    <mergeCell ref="A48:A50"/>
    <mergeCell ref="A30:A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B493-6BBD-40C7-B12B-C24EA0CF7CB8}">
  <dimension ref="A2:P50"/>
  <sheetViews>
    <sheetView topLeftCell="C1" workbookViewId="0">
      <selection activeCell="G13" sqref="G13"/>
    </sheetView>
  </sheetViews>
  <sheetFormatPr baseColWidth="10" defaultRowHeight="15" x14ac:dyDescent="0.25"/>
  <cols>
    <col min="4" max="4" width="19.85546875" customWidth="1"/>
    <col min="5" max="5" width="13.28515625" bestFit="1" customWidth="1"/>
    <col min="6" max="6" width="12.140625" bestFit="1" customWidth="1"/>
    <col min="7" max="7" width="13.140625" bestFit="1" customWidth="1"/>
    <col min="11" max="11" width="15.140625" bestFit="1" customWidth="1"/>
    <col min="12" max="13" width="14.140625" bestFit="1" customWidth="1"/>
    <col min="14" max="14" width="13.140625" bestFit="1" customWidth="1"/>
  </cols>
  <sheetData>
    <row r="2" spans="1:16" x14ac:dyDescent="0.25">
      <c r="A2" s="87" t="s">
        <v>0</v>
      </c>
      <c r="B2" s="87"/>
      <c r="D2" s="70"/>
      <c r="E2" s="70" t="s">
        <v>1</v>
      </c>
      <c r="F2" s="70" t="s">
        <v>2</v>
      </c>
      <c r="G2" s="70" t="s">
        <v>3</v>
      </c>
      <c r="H2" s="70" t="s">
        <v>4</v>
      </c>
      <c r="I2" s="70" t="s">
        <v>5</v>
      </c>
      <c r="J2" s="71" t="s">
        <v>6</v>
      </c>
      <c r="K2" s="71" t="s">
        <v>7</v>
      </c>
      <c r="L2" s="71" t="s">
        <v>8</v>
      </c>
    </row>
    <row r="3" spans="1:16" x14ac:dyDescent="0.25">
      <c r="A3" s="86" t="s">
        <v>9</v>
      </c>
      <c r="B3" s="86"/>
      <c r="D3" s="76" t="s">
        <v>13</v>
      </c>
      <c r="E3" s="108">
        <v>100000</v>
      </c>
      <c r="F3" s="108">
        <f>((E3-G3)*(I3/H3))+G3</f>
        <v>73000</v>
      </c>
      <c r="G3" s="108">
        <f>0.1*E3</f>
        <v>10000</v>
      </c>
      <c r="H3" s="76">
        <v>10</v>
      </c>
      <c r="I3" s="76">
        <v>7</v>
      </c>
      <c r="J3" s="73"/>
      <c r="K3" s="73">
        <f>((E3-G3)/H3)*(15/12)</f>
        <v>11250</v>
      </c>
      <c r="L3" s="73">
        <f>F3*$P$8</f>
        <v>22812.5</v>
      </c>
    </row>
    <row r="4" spans="1:16" x14ac:dyDescent="0.25">
      <c r="A4" s="86" t="s">
        <v>9</v>
      </c>
      <c r="B4" s="86"/>
      <c r="D4" s="76" t="s">
        <v>14</v>
      </c>
      <c r="E4" s="108">
        <v>700000</v>
      </c>
      <c r="F4" s="108">
        <f>((E4-G4)*(I4/H4))+G4</f>
        <v>700000</v>
      </c>
      <c r="G4" s="108">
        <f>0.2*E4</f>
        <v>140000</v>
      </c>
      <c r="H4" s="76">
        <v>10</v>
      </c>
      <c r="I4" s="76">
        <v>10</v>
      </c>
      <c r="J4" s="73"/>
      <c r="K4" s="73">
        <f>((E4-G4)/H4)*(15/12)</f>
        <v>70000</v>
      </c>
      <c r="L4" s="73">
        <f>F4*$P$8</f>
        <v>218750</v>
      </c>
    </row>
    <row r="5" spans="1:16" x14ac:dyDescent="0.25">
      <c r="D5" s="75"/>
      <c r="E5" s="6"/>
      <c r="F5" s="6"/>
      <c r="G5" s="6"/>
      <c r="H5" s="75"/>
      <c r="I5" s="75"/>
      <c r="J5" s="73"/>
      <c r="K5" s="73"/>
      <c r="L5" s="73"/>
    </row>
    <row r="6" spans="1:16" x14ac:dyDescent="0.25">
      <c r="D6" s="75"/>
      <c r="E6" s="6"/>
      <c r="F6" s="6" t="s">
        <v>11</v>
      </c>
      <c r="G6" s="6" t="s">
        <v>12</v>
      </c>
      <c r="H6" s="75"/>
      <c r="I6" s="75"/>
      <c r="J6" s="73"/>
      <c r="K6" s="73"/>
      <c r="L6" s="73"/>
      <c r="N6" s="90" t="s">
        <v>62</v>
      </c>
      <c r="O6" s="90"/>
      <c r="P6" s="90"/>
    </row>
    <row r="7" spans="1:16" x14ac:dyDescent="0.25">
      <c r="A7" s="86" t="s">
        <v>35</v>
      </c>
      <c r="B7" s="86"/>
      <c r="D7" s="76" t="s">
        <v>58</v>
      </c>
      <c r="E7" s="109">
        <v>25000</v>
      </c>
      <c r="F7" s="109">
        <f>E7</f>
        <v>25000</v>
      </c>
      <c r="G7" s="109">
        <f>F7*15</f>
        <v>375000</v>
      </c>
      <c r="H7" s="75"/>
      <c r="I7" s="75"/>
      <c r="J7" s="73">
        <f>G7</f>
        <v>375000</v>
      </c>
      <c r="K7" s="73"/>
      <c r="L7" s="73">
        <f>J7*$P$9*($O$16/15)</f>
        <v>18750</v>
      </c>
      <c r="N7" s="96" t="s">
        <v>24</v>
      </c>
      <c r="O7" s="96"/>
      <c r="P7" s="74">
        <f>P12*15/12</f>
        <v>0.1875</v>
      </c>
    </row>
    <row r="8" spans="1:16" x14ac:dyDescent="0.25">
      <c r="A8" s="86" t="s">
        <v>35</v>
      </c>
      <c r="B8" s="86"/>
      <c r="D8" s="76" t="s">
        <v>60</v>
      </c>
      <c r="E8" s="109">
        <v>10000</v>
      </c>
      <c r="F8" s="109">
        <f>E8</f>
        <v>10000</v>
      </c>
      <c r="G8" s="109">
        <f>F8*15</f>
        <v>150000</v>
      </c>
      <c r="H8" s="75"/>
      <c r="I8" s="75"/>
      <c r="J8" s="73">
        <f t="shared" ref="J8:J15" si="0">G8</f>
        <v>150000</v>
      </c>
      <c r="K8" s="73"/>
      <c r="L8" s="73">
        <f t="shared" ref="L8:L15" si="1">J8*$P$9*($O$16/15)</f>
        <v>7500</v>
      </c>
      <c r="N8" s="96" t="s">
        <v>25</v>
      </c>
      <c r="O8" s="96"/>
      <c r="P8" s="74">
        <f t="shared" ref="P8:P9" si="2">P13*15/12</f>
        <v>0.3125</v>
      </c>
    </row>
    <row r="9" spans="1:16" x14ac:dyDescent="0.25">
      <c r="A9" s="86" t="s">
        <v>35</v>
      </c>
      <c r="B9" s="86"/>
      <c r="D9" s="76" t="s">
        <v>36</v>
      </c>
      <c r="E9" s="109">
        <v>1000000</v>
      </c>
      <c r="F9" s="73"/>
      <c r="G9" s="109">
        <f>E9</f>
        <v>1000000</v>
      </c>
      <c r="H9" s="75"/>
      <c r="I9" s="75"/>
      <c r="J9" s="73">
        <f t="shared" si="0"/>
        <v>1000000</v>
      </c>
      <c r="K9" s="73"/>
      <c r="L9" s="73">
        <f t="shared" si="1"/>
        <v>50000</v>
      </c>
      <c r="N9" s="96" t="s">
        <v>26</v>
      </c>
      <c r="O9" s="96"/>
      <c r="P9" s="74">
        <f t="shared" si="2"/>
        <v>0.375</v>
      </c>
    </row>
    <row r="10" spans="1:16" x14ac:dyDescent="0.25">
      <c r="A10" s="86" t="s">
        <v>35</v>
      </c>
      <c r="B10" s="86"/>
      <c r="D10" s="76" t="s">
        <v>17</v>
      </c>
      <c r="E10" s="109">
        <f>E21</f>
        <v>200000</v>
      </c>
      <c r="F10" s="73"/>
      <c r="G10" s="109">
        <f t="shared" ref="G10:G11" si="3">E10</f>
        <v>200000</v>
      </c>
      <c r="H10" s="75"/>
      <c r="I10" s="75"/>
      <c r="J10" s="73">
        <f t="shared" si="0"/>
        <v>200000</v>
      </c>
      <c r="K10" s="73"/>
      <c r="L10" s="73">
        <f t="shared" si="1"/>
        <v>10000</v>
      </c>
    </row>
    <row r="11" spans="1:16" x14ac:dyDescent="0.25">
      <c r="A11" s="86" t="s">
        <v>35</v>
      </c>
      <c r="B11" s="86"/>
      <c r="D11" s="76" t="s">
        <v>19</v>
      </c>
      <c r="E11" s="109">
        <f>20000*E18</f>
        <v>400000</v>
      </c>
      <c r="F11" s="73"/>
      <c r="G11" s="109">
        <f t="shared" si="3"/>
        <v>400000</v>
      </c>
      <c r="H11" s="75"/>
      <c r="I11" s="75"/>
      <c r="J11" s="73">
        <f t="shared" si="0"/>
        <v>400000</v>
      </c>
      <c r="K11" s="73"/>
      <c r="L11" s="73">
        <f t="shared" si="1"/>
        <v>20000</v>
      </c>
      <c r="N11" s="97" t="s">
        <v>39</v>
      </c>
      <c r="O11" s="97"/>
      <c r="P11" s="97"/>
    </row>
    <row r="12" spans="1:16" x14ac:dyDescent="0.25">
      <c r="A12" s="86" t="s">
        <v>35</v>
      </c>
      <c r="B12" s="86"/>
      <c r="D12" s="76" t="s">
        <v>53</v>
      </c>
      <c r="E12" s="109">
        <f>30000+(0.6*30000)</f>
        <v>48000</v>
      </c>
      <c r="F12" s="109">
        <f>E12*20</f>
        <v>960000</v>
      </c>
      <c r="G12" s="73">
        <f>F12*16</f>
        <v>15360000</v>
      </c>
      <c r="H12" s="75"/>
      <c r="I12" s="75"/>
      <c r="J12" s="73">
        <f t="shared" si="0"/>
        <v>15360000</v>
      </c>
      <c r="K12" s="73"/>
      <c r="L12" s="73">
        <f t="shared" si="1"/>
        <v>768000</v>
      </c>
      <c r="N12" s="86" t="s">
        <v>24</v>
      </c>
      <c r="O12" s="86"/>
      <c r="P12" s="20">
        <v>0.15</v>
      </c>
    </row>
    <row r="13" spans="1:16" x14ac:dyDescent="0.25">
      <c r="A13" s="86" t="s">
        <v>35</v>
      </c>
      <c r="B13" s="86"/>
      <c r="D13" s="76" t="s">
        <v>21</v>
      </c>
      <c r="E13" s="109">
        <v>50000</v>
      </c>
      <c r="F13" s="109">
        <f>E13*2</f>
        <v>100000</v>
      </c>
      <c r="G13" s="109">
        <f>F13*15</f>
        <v>1500000</v>
      </c>
      <c r="H13" s="75"/>
      <c r="I13" s="75"/>
      <c r="J13" s="73">
        <f t="shared" si="0"/>
        <v>1500000</v>
      </c>
      <c r="K13" s="73"/>
      <c r="L13" s="73">
        <f t="shared" si="1"/>
        <v>75000</v>
      </c>
      <c r="N13" s="86" t="s">
        <v>25</v>
      </c>
      <c r="O13" s="86"/>
      <c r="P13" s="20">
        <v>0.25</v>
      </c>
    </row>
    <row r="14" spans="1:16" x14ac:dyDescent="0.25">
      <c r="A14" s="86" t="s">
        <v>35</v>
      </c>
      <c r="B14" s="86"/>
      <c r="D14" s="76" t="s">
        <v>22</v>
      </c>
      <c r="E14" s="109">
        <v>10000</v>
      </c>
      <c r="F14" s="109">
        <f>E14/3</f>
        <v>3333.3333333333335</v>
      </c>
      <c r="G14" s="109">
        <f>F14*15</f>
        <v>50000</v>
      </c>
      <c r="H14" s="75"/>
      <c r="I14" s="75"/>
      <c r="J14" s="73">
        <f t="shared" si="0"/>
        <v>50000</v>
      </c>
      <c r="K14" s="73"/>
      <c r="L14" s="73">
        <f t="shared" si="1"/>
        <v>2500</v>
      </c>
      <c r="N14" s="86" t="s">
        <v>26</v>
      </c>
      <c r="O14" s="86"/>
      <c r="P14" s="20">
        <v>0.3</v>
      </c>
    </row>
    <row r="15" spans="1:16" x14ac:dyDescent="0.25">
      <c r="A15" s="86" t="s">
        <v>35</v>
      </c>
      <c r="B15" s="86"/>
      <c r="D15" s="76" t="s">
        <v>23</v>
      </c>
      <c r="E15" s="109">
        <v>1000</v>
      </c>
      <c r="F15" s="109">
        <v>1000</v>
      </c>
      <c r="G15" s="109">
        <f>F15*15</f>
        <v>15000</v>
      </c>
      <c r="H15" s="75"/>
      <c r="I15" s="75"/>
      <c r="J15" s="73">
        <f t="shared" si="0"/>
        <v>15000</v>
      </c>
      <c r="K15" s="73"/>
      <c r="L15" s="73">
        <f t="shared" si="1"/>
        <v>750</v>
      </c>
    </row>
    <row r="16" spans="1:16" ht="15.75" thickBot="1" x14ac:dyDescent="0.3">
      <c r="E16" s="10"/>
      <c r="F16" s="10"/>
      <c r="G16" s="10"/>
      <c r="J16" s="73">
        <f>SUM(J3:J15)</f>
        <v>19050000</v>
      </c>
      <c r="K16" s="73">
        <f>SUM(K3:K15)</f>
        <v>81250</v>
      </c>
      <c r="L16" s="73">
        <f>SUM(L3:L15)</f>
        <v>1194062.5</v>
      </c>
      <c r="N16" s="72" t="s">
        <v>41</v>
      </c>
      <c r="O16" s="72">
        <v>2</v>
      </c>
      <c r="P16" t="s">
        <v>64</v>
      </c>
    </row>
    <row r="17" spans="1:14" ht="15.75" thickBot="1" x14ac:dyDescent="0.3">
      <c r="A17" s="93" t="s">
        <v>31</v>
      </c>
      <c r="B17" s="94"/>
      <c r="E17" s="10"/>
      <c r="F17" s="10"/>
      <c r="G17" s="10"/>
    </row>
    <row r="18" spans="1:14" x14ac:dyDescent="0.25">
      <c r="A18" s="83" t="str">
        <f>D3</f>
        <v>Pala mecanica</v>
      </c>
      <c r="B18" s="34"/>
      <c r="D18" s="75" t="s">
        <v>61</v>
      </c>
      <c r="E18" s="75">
        <v>20</v>
      </c>
      <c r="J18" s="87" t="s">
        <v>46</v>
      </c>
      <c r="K18" s="87"/>
      <c r="L18" s="81">
        <f>SUM(J16:L16)</f>
        <v>20325312.5</v>
      </c>
      <c r="M18" s="78" t="s">
        <v>59</v>
      </c>
    </row>
    <row r="19" spans="1:14" x14ac:dyDescent="0.25">
      <c r="A19" s="84"/>
      <c r="B19" s="35"/>
      <c r="D19" s="75" t="s">
        <v>17</v>
      </c>
      <c r="E19" s="75" t="s">
        <v>52</v>
      </c>
      <c r="L19" s="10">
        <f>L18*(12/18)</f>
        <v>13550208.333333332</v>
      </c>
      <c r="M19" t="s">
        <v>30</v>
      </c>
    </row>
    <row r="20" spans="1:14" ht="15.75" thickBot="1" x14ac:dyDescent="0.3">
      <c r="A20" s="85"/>
      <c r="B20" s="36"/>
      <c r="D20" s="65" t="s">
        <v>67</v>
      </c>
      <c r="E20" s="75">
        <f>50*20</f>
        <v>1000</v>
      </c>
    </row>
    <row r="21" spans="1:14" x14ac:dyDescent="0.25">
      <c r="A21" s="83" t="str">
        <f>D4</f>
        <v>Automovil</v>
      </c>
      <c r="B21" s="34"/>
      <c r="D21" s="65" t="s">
        <v>68</v>
      </c>
      <c r="E21" s="6">
        <f>E20*200</f>
        <v>200000</v>
      </c>
      <c r="G21" s="88" t="s">
        <v>27</v>
      </c>
      <c r="H21" s="89"/>
      <c r="I21" s="20">
        <v>0.2</v>
      </c>
      <c r="K21" s="87" t="s">
        <v>55</v>
      </c>
      <c r="L21" s="87"/>
      <c r="M21" s="64">
        <f>N21+L18</f>
        <v>24390375</v>
      </c>
      <c r="N21" s="10">
        <f>L18*I21</f>
        <v>4065062.5</v>
      </c>
    </row>
    <row r="22" spans="1:14" x14ac:dyDescent="0.25">
      <c r="A22" s="84"/>
      <c r="B22" s="35"/>
      <c r="G22" s="88" t="s">
        <v>28</v>
      </c>
      <c r="H22" s="89"/>
      <c r="I22" s="21">
        <v>0.25</v>
      </c>
      <c r="K22" s="87" t="s">
        <v>65</v>
      </c>
      <c r="L22" s="87"/>
      <c r="M22" s="64">
        <f>N22+M21</f>
        <v>30487968.75</v>
      </c>
      <c r="N22" s="10">
        <f>M21*I22</f>
        <v>6097593.75</v>
      </c>
    </row>
    <row r="23" spans="1:14" ht="15.75" thickBot="1" x14ac:dyDescent="0.3">
      <c r="A23" s="85"/>
      <c r="B23" s="36"/>
      <c r="G23" s="88" t="s">
        <v>29</v>
      </c>
      <c r="H23" s="89"/>
      <c r="I23" s="22">
        <v>0.25</v>
      </c>
      <c r="K23" s="87" t="s">
        <v>66</v>
      </c>
      <c r="L23" s="87"/>
      <c r="M23" s="64">
        <f>N23+M22</f>
        <v>38109960.9375</v>
      </c>
      <c r="N23" s="10">
        <f>M22*I23</f>
        <v>7621992.1875</v>
      </c>
    </row>
    <row r="24" spans="1:14" x14ac:dyDescent="0.25">
      <c r="A24" s="83" t="str">
        <f>D7</f>
        <v>Alquiler  inmueble</v>
      </c>
      <c r="B24" s="34"/>
    </row>
    <row r="25" spans="1:14" x14ac:dyDescent="0.25">
      <c r="A25" s="84"/>
      <c r="B25" s="35"/>
    </row>
    <row r="26" spans="1:14" ht="15.75" thickBot="1" x14ac:dyDescent="0.3">
      <c r="A26" s="85"/>
      <c r="B26" s="36"/>
      <c r="G26" s="91" t="s">
        <v>45</v>
      </c>
      <c r="H26" s="92"/>
      <c r="I26" s="68">
        <f>(1+I21)*(1+I22)*(1+I23)</f>
        <v>1.875</v>
      </c>
      <c r="K26" t="s">
        <v>54</v>
      </c>
    </row>
    <row r="27" spans="1:14" x14ac:dyDescent="0.25">
      <c r="A27" s="83" t="str">
        <f>D8</f>
        <v>Alquiler camion</v>
      </c>
      <c r="B27" s="34"/>
      <c r="K27" s="87" t="s">
        <v>46</v>
      </c>
      <c r="L27" s="87"/>
      <c r="M27" s="64">
        <v>10000000</v>
      </c>
    </row>
    <row r="28" spans="1:14" x14ac:dyDescent="0.25">
      <c r="A28" s="84"/>
      <c r="B28" s="35"/>
    </row>
    <row r="29" spans="1:14" ht="15.75" thickBot="1" x14ac:dyDescent="0.3">
      <c r="A29" s="85"/>
      <c r="B29" s="36"/>
      <c r="K29" s="87" t="s">
        <v>55</v>
      </c>
      <c r="L29" s="87"/>
      <c r="M29" s="64">
        <f>N29+M27</f>
        <v>12000000</v>
      </c>
      <c r="N29" s="10">
        <f>M27*I21</f>
        <v>2000000</v>
      </c>
    </row>
    <row r="30" spans="1:14" x14ac:dyDescent="0.25">
      <c r="A30" s="83" t="str">
        <f>D9</f>
        <v>Tanque</v>
      </c>
      <c r="B30" s="34"/>
      <c r="K30" s="87" t="s">
        <v>56</v>
      </c>
      <c r="L30" s="87"/>
      <c r="M30" s="64">
        <f>M29+N30</f>
        <v>15000000</v>
      </c>
      <c r="N30" s="10">
        <f>M29*I22</f>
        <v>3000000</v>
      </c>
    </row>
    <row r="31" spans="1:14" x14ac:dyDescent="0.25">
      <c r="A31" s="84"/>
      <c r="B31" s="35"/>
      <c r="K31" s="101" t="s">
        <v>57</v>
      </c>
      <c r="L31" s="101"/>
      <c r="M31" s="66">
        <f>M30+N31</f>
        <v>18750000</v>
      </c>
      <c r="N31" s="10">
        <f>M30*I23</f>
        <v>3750000</v>
      </c>
    </row>
    <row r="32" spans="1:14" ht="15.75" thickBot="1" x14ac:dyDescent="0.3">
      <c r="A32" s="85"/>
      <c r="B32" s="36"/>
      <c r="K32" t="s">
        <v>63</v>
      </c>
    </row>
    <row r="33" spans="1:13" x14ac:dyDescent="0.25">
      <c r="A33" s="83" t="str">
        <f>D10</f>
        <v>PVC</v>
      </c>
      <c r="B33" s="34"/>
    </row>
    <row r="34" spans="1:13" x14ac:dyDescent="0.25">
      <c r="A34" s="84"/>
      <c r="B34" s="35"/>
      <c r="K34" s="101" t="s">
        <v>47</v>
      </c>
      <c r="L34" s="101"/>
      <c r="M34" s="66">
        <f>M30-M29</f>
        <v>3000000</v>
      </c>
    </row>
    <row r="35" spans="1:13" ht="15.75" thickBot="1" x14ac:dyDescent="0.3">
      <c r="A35" s="85"/>
      <c r="B35" s="36"/>
      <c r="M35" s="66">
        <f>M29*I22</f>
        <v>3000000</v>
      </c>
    </row>
    <row r="36" spans="1:13" x14ac:dyDescent="0.25">
      <c r="A36" s="83" t="str">
        <f>D11</f>
        <v>Demas materiales</v>
      </c>
      <c r="B36" s="34"/>
    </row>
    <row r="37" spans="1:13" x14ac:dyDescent="0.25">
      <c r="A37" s="84"/>
      <c r="B37" s="35"/>
      <c r="K37" s="67">
        <f>M27*I26</f>
        <v>18750000</v>
      </c>
    </row>
    <row r="38" spans="1:13" ht="15.75" thickBot="1" x14ac:dyDescent="0.3">
      <c r="A38" s="85"/>
      <c r="B38" s="36"/>
    </row>
    <row r="39" spans="1:13" x14ac:dyDescent="0.25">
      <c r="A39" s="83" t="str">
        <f>D12</f>
        <v>20 operarios</v>
      </c>
      <c r="B39" s="34"/>
    </row>
    <row r="40" spans="1:13" x14ac:dyDescent="0.25">
      <c r="A40" s="84"/>
      <c r="B40" s="35"/>
    </row>
    <row r="41" spans="1:13" ht="15.75" thickBot="1" x14ac:dyDescent="0.3">
      <c r="A41" s="85"/>
      <c r="B41" s="36"/>
    </row>
    <row r="42" spans="1:13" x14ac:dyDescent="0.25">
      <c r="A42" s="83" t="str">
        <f>D13</f>
        <v>2 ingenieros</v>
      </c>
      <c r="B42" s="34"/>
    </row>
    <row r="43" spans="1:13" x14ac:dyDescent="0.25">
      <c r="A43" s="84"/>
      <c r="B43" s="35"/>
    </row>
    <row r="44" spans="1:13" ht="15.75" thickBot="1" x14ac:dyDescent="0.3">
      <c r="A44" s="85"/>
      <c r="B44" s="36"/>
    </row>
    <row r="45" spans="1:13" x14ac:dyDescent="0.25">
      <c r="A45" s="83" t="str">
        <f>D14</f>
        <v>Seguros e impuestos</v>
      </c>
      <c r="B45" s="34"/>
    </row>
    <row r="46" spans="1:13" x14ac:dyDescent="0.25">
      <c r="A46" s="84"/>
      <c r="B46" s="35"/>
    </row>
    <row r="47" spans="1:13" ht="15.75" thickBot="1" x14ac:dyDescent="0.3">
      <c r="A47" s="85"/>
      <c r="B47" s="36"/>
    </row>
    <row r="48" spans="1:13" x14ac:dyDescent="0.25">
      <c r="A48" s="83" t="s">
        <v>36</v>
      </c>
      <c r="B48" s="34"/>
    </row>
    <row r="49" spans="1:2" x14ac:dyDescent="0.25">
      <c r="A49" s="84"/>
      <c r="B49" s="35"/>
    </row>
    <row r="50" spans="1:2" ht="15.75" thickBot="1" x14ac:dyDescent="0.3">
      <c r="A50" s="85"/>
      <c r="B50" s="36"/>
    </row>
  </sheetData>
  <mergeCells count="45">
    <mergeCell ref="A39:A41"/>
    <mergeCell ref="A42:A44"/>
    <mergeCell ref="A45:A47"/>
    <mergeCell ref="A48:A50"/>
    <mergeCell ref="A30:A32"/>
    <mergeCell ref="K30:L30"/>
    <mergeCell ref="K31:L31"/>
    <mergeCell ref="A33:A35"/>
    <mergeCell ref="K34:L34"/>
    <mergeCell ref="A36:A38"/>
    <mergeCell ref="J18:K18"/>
    <mergeCell ref="A21:A23"/>
    <mergeCell ref="G21:H21"/>
    <mergeCell ref="K21:L21"/>
    <mergeCell ref="G22:H22"/>
    <mergeCell ref="K22:L22"/>
    <mergeCell ref="G23:H23"/>
    <mergeCell ref="K23:L23"/>
    <mergeCell ref="A2:B2"/>
    <mergeCell ref="A7:B7"/>
    <mergeCell ref="A17:B17"/>
    <mergeCell ref="A18:A20"/>
    <mergeCell ref="A24:A26"/>
    <mergeCell ref="A27:A29"/>
    <mergeCell ref="K27:L27"/>
    <mergeCell ref="K29:L29"/>
    <mergeCell ref="G26:H26"/>
    <mergeCell ref="A13:B13"/>
    <mergeCell ref="N13:O13"/>
    <mergeCell ref="A14:B14"/>
    <mergeCell ref="N14:O14"/>
    <mergeCell ref="A15:B15"/>
    <mergeCell ref="A9:B9"/>
    <mergeCell ref="N9:O9"/>
    <mergeCell ref="A10:B10"/>
    <mergeCell ref="A11:B11"/>
    <mergeCell ref="A12:B12"/>
    <mergeCell ref="N11:P11"/>
    <mergeCell ref="N12:O12"/>
    <mergeCell ref="A3:B3"/>
    <mergeCell ref="A4:B4"/>
    <mergeCell ref="A8:B8"/>
    <mergeCell ref="N8:O8"/>
    <mergeCell ref="N6:P6"/>
    <mergeCell ref="N7:O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1DF6-B237-4ED2-814F-CC11A0557506}">
  <dimension ref="A2:P50"/>
  <sheetViews>
    <sheetView tabSelected="1" topLeftCell="C4" workbookViewId="0">
      <selection activeCell="L20" sqref="L20"/>
    </sheetView>
  </sheetViews>
  <sheetFormatPr baseColWidth="10" defaultRowHeight="15" x14ac:dyDescent="0.25"/>
  <cols>
    <col min="4" max="4" width="21" customWidth="1"/>
    <col min="5" max="6" width="13.140625" bestFit="1" customWidth="1"/>
    <col min="7" max="7" width="14.140625" bestFit="1" customWidth="1"/>
  </cols>
  <sheetData>
    <row r="2" spans="1:16" x14ac:dyDescent="0.25">
      <c r="A2" s="87" t="s">
        <v>0</v>
      </c>
      <c r="B2" s="87"/>
      <c r="D2" s="70"/>
      <c r="E2" s="70" t="s">
        <v>1</v>
      </c>
      <c r="F2" s="70" t="s">
        <v>2</v>
      </c>
      <c r="G2" s="70" t="s">
        <v>3</v>
      </c>
      <c r="H2" s="70" t="s">
        <v>4</v>
      </c>
      <c r="I2" s="70" t="s">
        <v>5</v>
      </c>
      <c r="J2" s="71" t="s">
        <v>6</v>
      </c>
      <c r="K2" s="71" t="s">
        <v>7</v>
      </c>
      <c r="L2" s="71" t="s">
        <v>8</v>
      </c>
    </row>
    <row r="3" spans="1:16" x14ac:dyDescent="0.25">
      <c r="A3" s="86" t="s">
        <v>9</v>
      </c>
      <c r="B3" s="86"/>
      <c r="D3" s="76" t="s">
        <v>13</v>
      </c>
      <c r="E3" s="108">
        <v>100000</v>
      </c>
      <c r="F3" s="108">
        <f>((E3-G3)*(I3/H3))+G3</f>
        <v>73000</v>
      </c>
      <c r="G3" s="108">
        <f>0.1*E3</f>
        <v>10000</v>
      </c>
      <c r="H3" s="76">
        <v>10</v>
      </c>
      <c r="I3" s="76">
        <v>7</v>
      </c>
      <c r="J3" s="73"/>
      <c r="K3" s="73">
        <f>((E3-G3)/H3)</f>
        <v>9000</v>
      </c>
      <c r="L3" s="73">
        <f>F3*$P$13</f>
        <v>18250</v>
      </c>
    </row>
    <row r="4" spans="1:16" x14ac:dyDescent="0.25">
      <c r="A4" s="86" t="s">
        <v>9</v>
      </c>
      <c r="B4" s="86"/>
      <c r="D4" s="76" t="s">
        <v>14</v>
      </c>
      <c r="E4" s="108">
        <v>700000</v>
      </c>
      <c r="F4" s="108">
        <f>((E4-G4)*(I4/H4))+G4</f>
        <v>700000</v>
      </c>
      <c r="G4" s="108">
        <f>0.2*E4</f>
        <v>140000</v>
      </c>
      <c r="H4" s="76">
        <v>10</v>
      </c>
      <c r="I4" s="76">
        <v>10</v>
      </c>
      <c r="J4" s="73"/>
      <c r="K4" s="73">
        <f>((E4-G4)/H4)</f>
        <v>56000</v>
      </c>
      <c r="L4" s="73">
        <f>F4*$P$13</f>
        <v>175000</v>
      </c>
    </row>
    <row r="5" spans="1:16" x14ac:dyDescent="0.25">
      <c r="D5" s="75"/>
      <c r="E5" s="6"/>
      <c r="F5" s="6"/>
      <c r="G5" s="6"/>
      <c r="H5" s="75"/>
      <c r="I5" s="75"/>
      <c r="J5" s="73"/>
      <c r="K5" s="73"/>
      <c r="L5" s="73"/>
    </row>
    <row r="6" spans="1:16" x14ac:dyDescent="0.25">
      <c r="D6" s="75"/>
      <c r="E6" s="6"/>
      <c r="F6" s="6" t="s">
        <v>11</v>
      </c>
      <c r="G6" s="6" t="s">
        <v>30</v>
      </c>
      <c r="H6" s="75"/>
      <c r="I6" s="75"/>
      <c r="J6" s="73"/>
      <c r="K6" s="73"/>
      <c r="L6" s="73"/>
      <c r="N6" s="97" t="s">
        <v>62</v>
      </c>
      <c r="O6" s="97"/>
      <c r="P6" s="97"/>
    </row>
    <row r="7" spans="1:16" x14ac:dyDescent="0.25">
      <c r="A7" s="86" t="s">
        <v>35</v>
      </c>
      <c r="B7" s="86"/>
      <c r="D7" s="76" t="s">
        <v>58</v>
      </c>
      <c r="E7" s="108">
        <v>25000</v>
      </c>
      <c r="F7" s="108">
        <f>E7</f>
        <v>25000</v>
      </c>
      <c r="G7" s="108">
        <f>F7*12</f>
        <v>300000</v>
      </c>
      <c r="H7" s="75"/>
      <c r="I7" s="75"/>
      <c r="J7" s="73">
        <f>G7</f>
        <v>300000</v>
      </c>
      <c r="K7" s="73"/>
      <c r="L7" s="73">
        <f>J7*$P$14*($O$16/12)</f>
        <v>15000</v>
      </c>
      <c r="N7" s="86" t="s">
        <v>24</v>
      </c>
      <c r="O7" s="86"/>
      <c r="P7" s="20">
        <f>P12*(12/18)</f>
        <v>9.9999999999999992E-2</v>
      </c>
    </row>
    <row r="8" spans="1:16" x14ac:dyDescent="0.25">
      <c r="A8" s="86" t="s">
        <v>35</v>
      </c>
      <c r="B8" s="86"/>
      <c r="D8" s="76" t="s">
        <v>60</v>
      </c>
      <c r="E8" s="108">
        <v>10000</v>
      </c>
      <c r="F8" s="108">
        <f>E8</f>
        <v>10000</v>
      </c>
      <c r="G8" s="108">
        <f>F8*12</f>
        <v>120000</v>
      </c>
      <c r="H8" s="75"/>
      <c r="I8" s="75"/>
      <c r="J8" s="73">
        <f t="shared" ref="J8:J15" si="0">G8</f>
        <v>120000</v>
      </c>
      <c r="K8" s="73"/>
      <c r="L8" s="73">
        <f t="shared" ref="L8:L15" si="1">J8*$P$14*($O$16/12)</f>
        <v>6000</v>
      </c>
      <c r="N8" s="86" t="s">
        <v>25</v>
      </c>
      <c r="O8" s="86"/>
      <c r="P8" s="20">
        <f t="shared" ref="P8:P9" si="2">P13*(12/18)</f>
        <v>0.16666666666666666</v>
      </c>
    </row>
    <row r="9" spans="1:16" x14ac:dyDescent="0.25">
      <c r="A9" s="86" t="s">
        <v>35</v>
      </c>
      <c r="B9" s="86"/>
      <c r="D9" s="76" t="s">
        <v>36</v>
      </c>
      <c r="E9" s="108">
        <v>1000000</v>
      </c>
      <c r="F9" s="108"/>
      <c r="G9" s="108">
        <f>E9*(12/15)</f>
        <v>800000</v>
      </c>
      <c r="H9" s="75"/>
      <c r="I9" s="75"/>
      <c r="J9" s="73">
        <f t="shared" si="0"/>
        <v>800000</v>
      </c>
      <c r="K9" s="73"/>
      <c r="L9" s="73">
        <f t="shared" si="1"/>
        <v>40000</v>
      </c>
      <c r="N9" s="106" t="s">
        <v>26</v>
      </c>
      <c r="O9" s="107"/>
      <c r="P9" s="20">
        <f t="shared" si="2"/>
        <v>0.19999999999999998</v>
      </c>
    </row>
    <row r="10" spans="1:16" x14ac:dyDescent="0.25">
      <c r="A10" s="86" t="s">
        <v>35</v>
      </c>
      <c r="B10" s="86"/>
      <c r="D10" s="76" t="s">
        <v>17</v>
      </c>
      <c r="E10" s="108">
        <f>E21</f>
        <v>200000</v>
      </c>
      <c r="F10" s="108"/>
      <c r="G10" s="108">
        <f>E10*(12/15)</f>
        <v>160000</v>
      </c>
      <c r="H10" s="75"/>
      <c r="I10" s="75"/>
      <c r="J10" s="73">
        <f t="shared" si="0"/>
        <v>160000</v>
      </c>
      <c r="K10" s="73"/>
      <c r="L10" s="73">
        <f t="shared" si="1"/>
        <v>8000</v>
      </c>
    </row>
    <row r="11" spans="1:16" x14ac:dyDescent="0.25">
      <c r="A11" s="86" t="s">
        <v>35</v>
      </c>
      <c r="B11" s="86"/>
      <c r="D11" s="76" t="s">
        <v>19</v>
      </c>
      <c r="E11" s="108">
        <f>20000*E18</f>
        <v>400000</v>
      </c>
      <c r="F11" s="108"/>
      <c r="G11" s="108">
        <f>E11*(12/15)</f>
        <v>320000</v>
      </c>
      <c r="H11" s="75"/>
      <c r="I11" s="75"/>
      <c r="J11" s="73">
        <f t="shared" si="0"/>
        <v>320000</v>
      </c>
      <c r="K11" s="73"/>
      <c r="L11" s="73">
        <f t="shared" si="1"/>
        <v>16000</v>
      </c>
      <c r="N11" s="90" t="s">
        <v>39</v>
      </c>
      <c r="O11" s="90"/>
      <c r="P11" s="90"/>
    </row>
    <row r="12" spans="1:16" x14ac:dyDescent="0.25">
      <c r="A12" s="86" t="s">
        <v>35</v>
      </c>
      <c r="B12" s="86"/>
      <c r="D12" s="76" t="s">
        <v>53</v>
      </c>
      <c r="E12" s="108">
        <f>30000+(0.6*30000)</f>
        <v>48000</v>
      </c>
      <c r="F12" s="108">
        <f>E12*20</f>
        <v>960000</v>
      </c>
      <c r="G12" s="108">
        <f>F12*13</f>
        <v>12480000</v>
      </c>
      <c r="H12" s="75"/>
      <c r="I12" s="75"/>
      <c r="J12" s="73">
        <f t="shared" si="0"/>
        <v>12480000</v>
      </c>
      <c r="K12" s="73"/>
      <c r="L12" s="73">
        <f t="shared" si="1"/>
        <v>624000</v>
      </c>
      <c r="N12" s="104" t="s">
        <v>24</v>
      </c>
      <c r="O12" s="105"/>
      <c r="P12" s="74">
        <v>0.15</v>
      </c>
    </row>
    <row r="13" spans="1:16" x14ac:dyDescent="0.25">
      <c r="A13" s="86" t="s">
        <v>35</v>
      </c>
      <c r="B13" s="86"/>
      <c r="D13" s="76" t="s">
        <v>21</v>
      </c>
      <c r="E13" s="108">
        <v>50000</v>
      </c>
      <c r="F13" s="108">
        <f>E13*2</f>
        <v>100000</v>
      </c>
      <c r="G13" s="108">
        <f>F13*12</f>
        <v>1200000</v>
      </c>
      <c r="H13" s="75"/>
      <c r="I13" s="75"/>
      <c r="J13" s="73">
        <f t="shared" si="0"/>
        <v>1200000</v>
      </c>
      <c r="K13" s="73"/>
      <c r="L13" s="73">
        <f t="shared" si="1"/>
        <v>60000</v>
      </c>
      <c r="N13" s="104" t="s">
        <v>25</v>
      </c>
      <c r="O13" s="105"/>
      <c r="P13" s="74">
        <v>0.25</v>
      </c>
    </row>
    <row r="14" spans="1:16" x14ac:dyDescent="0.25">
      <c r="A14" s="86" t="s">
        <v>35</v>
      </c>
      <c r="B14" s="86"/>
      <c r="D14" s="76" t="s">
        <v>22</v>
      </c>
      <c r="E14" s="108">
        <v>10000</v>
      </c>
      <c r="F14" s="108">
        <f>E14/3</f>
        <v>3333.3333333333335</v>
      </c>
      <c r="G14" s="108">
        <f t="shared" ref="G14:G15" si="3">F14*12</f>
        <v>40000</v>
      </c>
      <c r="H14" s="75"/>
      <c r="I14" s="75"/>
      <c r="J14" s="73">
        <f t="shared" si="0"/>
        <v>40000</v>
      </c>
      <c r="K14" s="73"/>
      <c r="L14" s="73">
        <f t="shared" si="1"/>
        <v>2000</v>
      </c>
      <c r="N14" s="104" t="s">
        <v>26</v>
      </c>
      <c r="O14" s="105"/>
      <c r="P14" s="74">
        <v>0.3</v>
      </c>
    </row>
    <row r="15" spans="1:16" x14ac:dyDescent="0.25">
      <c r="A15" s="86" t="s">
        <v>35</v>
      </c>
      <c r="B15" s="86"/>
      <c r="D15" s="76" t="s">
        <v>23</v>
      </c>
      <c r="E15" s="108">
        <v>1000</v>
      </c>
      <c r="F15" s="108">
        <v>1000</v>
      </c>
      <c r="G15" s="108">
        <f t="shared" si="3"/>
        <v>12000</v>
      </c>
      <c r="H15" s="75"/>
      <c r="I15" s="75"/>
      <c r="J15" s="73">
        <f t="shared" si="0"/>
        <v>12000</v>
      </c>
      <c r="K15" s="73"/>
      <c r="L15" s="73">
        <f t="shared" si="1"/>
        <v>600</v>
      </c>
    </row>
    <row r="16" spans="1:16" ht="15.75" thickBot="1" x14ac:dyDescent="0.3">
      <c r="E16" s="10"/>
      <c r="F16" s="10"/>
      <c r="G16" s="10"/>
      <c r="J16" s="73">
        <f>SUM(J3:J15)</f>
        <v>15432000</v>
      </c>
      <c r="K16" s="73">
        <f>SUM(K3:K15)</f>
        <v>65000</v>
      </c>
      <c r="L16" s="73">
        <f>SUM(L3:L15)</f>
        <v>964850</v>
      </c>
      <c r="N16" s="72" t="s">
        <v>41</v>
      </c>
      <c r="O16" s="72">
        <v>2</v>
      </c>
      <c r="P16" t="s">
        <v>64</v>
      </c>
    </row>
    <row r="17" spans="1:14" ht="15.75" thickBot="1" x14ac:dyDescent="0.3">
      <c r="A17" s="93" t="s">
        <v>31</v>
      </c>
      <c r="B17" s="94"/>
      <c r="E17" s="10"/>
      <c r="F17" s="10"/>
      <c r="G17" s="10"/>
    </row>
    <row r="18" spans="1:14" x14ac:dyDescent="0.25">
      <c r="A18" s="83" t="str">
        <f>D3</f>
        <v>Pala mecanica</v>
      </c>
      <c r="B18" s="34"/>
      <c r="D18" s="75" t="s">
        <v>61</v>
      </c>
      <c r="E18" s="75">
        <v>20</v>
      </c>
      <c r="J18" s="88" t="s">
        <v>46</v>
      </c>
      <c r="K18" s="89"/>
      <c r="L18" s="82">
        <f>SUM(J16:L16)</f>
        <v>16461850</v>
      </c>
      <c r="M18" t="s">
        <v>30</v>
      </c>
    </row>
    <row r="19" spans="1:14" x14ac:dyDescent="0.25">
      <c r="A19" s="84"/>
      <c r="B19" s="35"/>
      <c r="D19" s="75" t="s">
        <v>17</v>
      </c>
      <c r="E19" s="75" t="s">
        <v>52</v>
      </c>
      <c r="L19" s="81">
        <f>L18*(15/12)</f>
        <v>20577312.5</v>
      </c>
      <c r="M19" s="78" t="s">
        <v>59</v>
      </c>
    </row>
    <row r="20" spans="1:14" ht="15.75" thickBot="1" x14ac:dyDescent="0.3">
      <c r="A20" s="85"/>
      <c r="B20" s="36"/>
      <c r="D20" s="65" t="s">
        <v>67</v>
      </c>
      <c r="E20" s="75">
        <f>50*20</f>
        <v>1000</v>
      </c>
    </row>
    <row r="21" spans="1:14" x14ac:dyDescent="0.25">
      <c r="A21" s="83" t="str">
        <f>D4</f>
        <v>Automovil</v>
      </c>
      <c r="B21" s="34"/>
      <c r="D21" s="65" t="s">
        <v>68</v>
      </c>
      <c r="E21" s="6">
        <f>E20*200</f>
        <v>200000</v>
      </c>
      <c r="G21" s="88" t="s">
        <v>27</v>
      </c>
      <c r="H21" s="89"/>
      <c r="I21" s="20">
        <v>0.2</v>
      </c>
      <c r="K21" s="88" t="s">
        <v>55</v>
      </c>
      <c r="L21" s="89"/>
      <c r="M21" s="64">
        <f>N21+L18</f>
        <v>19754220</v>
      </c>
      <c r="N21" s="10">
        <f>L18*I21</f>
        <v>3292370</v>
      </c>
    </row>
    <row r="22" spans="1:14" x14ac:dyDescent="0.25">
      <c r="A22" s="84"/>
      <c r="B22" s="35"/>
      <c r="G22" s="88" t="s">
        <v>28</v>
      </c>
      <c r="H22" s="89"/>
      <c r="I22" s="21">
        <v>0.25</v>
      </c>
      <c r="K22" s="88" t="s">
        <v>65</v>
      </c>
      <c r="L22" s="89"/>
      <c r="M22" s="64">
        <f>N22+M21</f>
        <v>24692775</v>
      </c>
      <c r="N22" s="10">
        <f>M21*I22</f>
        <v>4938555</v>
      </c>
    </row>
    <row r="23" spans="1:14" ht="15.75" thickBot="1" x14ac:dyDescent="0.3">
      <c r="A23" s="85"/>
      <c r="B23" s="36"/>
      <c r="G23" s="88" t="s">
        <v>29</v>
      </c>
      <c r="H23" s="89"/>
      <c r="I23" s="22">
        <v>0.25</v>
      </c>
      <c r="K23" s="88" t="s">
        <v>66</v>
      </c>
      <c r="L23" s="89"/>
      <c r="M23" s="64">
        <f>N23+M22</f>
        <v>30865968.75</v>
      </c>
      <c r="N23" s="10">
        <f>M22*I23</f>
        <v>6173193.75</v>
      </c>
    </row>
    <row r="24" spans="1:14" x14ac:dyDescent="0.25">
      <c r="A24" s="83" t="str">
        <f>D7</f>
        <v>Alquiler  inmueble</v>
      </c>
      <c r="B24" s="34"/>
    </row>
    <row r="25" spans="1:14" x14ac:dyDescent="0.25">
      <c r="A25" s="84"/>
      <c r="B25" s="35"/>
    </row>
    <row r="26" spans="1:14" ht="15.75" thickBot="1" x14ac:dyDescent="0.3">
      <c r="A26" s="85"/>
      <c r="B26" s="36"/>
      <c r="G26" s="91" t="s">
        <v>45</v>
      </c>
      <c r="H26" s="92"/>
      <c r="I26" s="68">
        <f>(1+I21)*(1+I22)*(1+I23)</f>
        <v>1.875</v>
      </c>
      <c r="K26" t="s">
        <v>54</v>
      </c>
    </row>
    <row r="27" spans="1:14" x14ac:dyDescent="0.25">
      <c r="A27" s="83" t="str">
        <f>D8</f>
        <v>Alquiler camion</v>
      </c>
      <c r="B27" s="34"/>
      <c r="K27" s="88" t="s">
        <v>46</v>
      </c>
      <c r="L27" s="89"/>
      <c r="M27" s="64">
        <v>10000000</v>
      </c>
    </row>
    <row r="28" spans="1:14" x14ac:dyDescent="0.25">
      <c r="A28" s="84"/>
      <c r="B28" s="35"/>
    </row>
    <row r="29" spans="1:14" ht="15.75" thickBot="1" x14ac:dyDescent="0.3">
      <c r="A29" s="85"/>
      <c r="B29" s="36"/>
      <c r="K29" s="88" t="s">
        <v>55</v>
      </c>
      <c r="L29" s="89"/>
      <c r="M29" s="64">
        <f>N29+M27</f>
        <v>12000000</v>
      </c>
      <c r="N29" s="10">
        <f>M27*I21</f>
        <v>2000000</v>
      </c>
    </row>
    <row r="30" spans="1:14" x14ac:dyDescent="0.25">
      <c r="A30" s="83" t="str">
        <f>D9</f>
        <v>Tanque</v>
      </c>
      <c r="B30" s="34"/>
      <c r="K30" s="88" t="s">
        <v>56</v>
      </c>
      <c r="L30" s="89"/>
      <c r="M30" s="64">
        <f>M29+N30</f>
        <v>15000000</v>
      </c>
      <c r="N30" s="10">
        <f>M29*I22</f>
        <v>3000000</v>
      </c>
    </row>
    <row r="31" spans="1:14" x14ac:dyDescent="0.25">
      <c r="A31" s="84"/>
      <c r="B31" s="35"/>
      <c r="K31" s="102" t="s">
        <v>57</v>
      </c>
      <c r="L31" s="103"/>
      <c r="M31" s="66">
        <f>M30+N31</f>
        <v>18750000</v>
      </c>
      <c r="N31" s="10">
        <f>M30*I23</f>
        <v>3750000</v>
      </c>
    </row>
    <row r="32" spans="1:14" ht="15.75" thickBot="1" x14ac:dyDescent="0.3">
      <c r="A32" s="85"/>
      <c r="B32" s="36"/>
      <c r="K32" t="s">
        <v>63</v>
      </c>
    </row>
    <row r="33" spans="1:13" x14ac:dyDescent="0.25">
      <c r="A33" s="83" t="str">
        <f>D10</f>
        <v>PVC</v>
      </c>
      <c r="B33" s="34"/>
    </row>
    <row r="34" spans="1:13" x14ac:dyDescent="0.25">
      <c r="A34" s="84"/>
      <c r="B34" s="35"/>
      <c r="K34" s="102" t="s">
        <v>47</v>
      </c>
      <c r="L34" s="103"/>
      <c r="M34" s="66">
        <f>M30-M29</f>
        <v>3000000</v>
      </c>
    </row>
    <row r="35" spans="1:13" ht="15.75" thickBot="1" x14ac:dyDescent="0.3">
      <c r="A35" s="85"/>
      <c r="B35" s="36"/>
      <c r="M35" s="66">
        <f>M29*I22</f>
        <v>3000000</v>
      </c>
    </row>
    <row r="36" spans="1:13" x14ac:dyDescent="0.25">
      <c r="A36" s="83" t="str">
        <f>D11</f>
        <v>Demas materiales</v>
      </c>
      <c r="B36" s="34"/>
    </row>
    <row r="37" spans="1:13" x14ac:dyDescent="0.25">
      <c r="A37" s="84"/>
      <c r="B37" s="35"/>
      <c r="K37" s="67">
        <f>M27*I26</f>
        <v>18750000</v>
      </c>
    </row>
    <row r="38" spans="1:13" ht="15.75" thickBot="1" x14ac:dyDescent="0.3">
      <c r="A38" s="85"/>
      <c r="B38" s="36"/>
    </row>
    <row r="39" spans="1:13" x14ac:dyDescent="0.25">
      <c r="A39" s="83" t="str">
        <f>D12</f>
        <v>20 operarios</v>
      </c>
      <c r="B39" s="34"/>
    </row>
    <row r="40" spans="1:13" x14ac:dyDescent="0.25">
      <c r="A40" s="84"/>
      <c r="B40" s="35"/>
    </row>
    <row r="41" spans="1:13" ht="15.75" thickBot="1" x14ac:dyDescent="0.3">
      <c r="A41" s="85"/>
      <c r="B41" s="36"/>
    </row>
    <row r="42" spans="1:13" x14ac:dyDescent="0.25">
      <c r="A42" s="83" t="str">
        <f>D13</f>
        <v>2 ingenieros</v>
      </c>
      <c r="B42" s="34"/>
    </row>
    <row r="43" spans="1:13" x14ac:dyDescent="0.25">
      <c r="A43" s="84"/>
      <c r="B43" s="35"/>
    </row>
    <row r="44" spans="1:13" ht="15.75" thickBot="1" x14ac:dyDescent="0.3">
      <c r="A44" s="85"/>
      <c r="B44" s="36"/>
    </row>
    <row r="45" spans="1:13" x14ac:dyDescent="0.25">
      <c r="A45" s="83" t="str">
        <f>D14</f>
        <v>Seguros e impuestos</v>
      </c>
      <c r="B45" s="34"/>
    </row>
    <row r="46" spans="1:13" x14ac:dyDescent="0.25">
      <c r="A46" s="84"/>
      <c r="B46" s="35"/>
    </row>
    <row r="47" spans="1:13" ht="15.75" thickBot="1" x14ac:dyDescent="0.3">
      <c r="A47" s="85"/>
      <c r="B47" s="36"/>
    </row>
    <row r="48" spans="1:13" x14ac:dyDescent="0.25">
      <c r="A48" s="83" t="s">
        <v>36</v>
      </c>
      <c r="B48" s="34"/>
    </row>
    <row r="49" spans="1:2" x14ac:dyDescent="0.25">
      <c r="A49" s="84"/>
      <c r="B49" s="35"/>
    </row>
    <row r="50" spans="1:2" ht="15.75" thickBot="1" x14ac:dyDescent="0.3">
      <c r="A50" s="85"/>
      <c r="B50" s="36"/>
    </row>
  </sheetData>
  <mergeCells count="45">
    <mergeCell ref="A39:A41"/>
    <mergeCell ref="A42:A44"/>
    <mergeCell ref="A45:A47"/>
    <mergeCell ref="A48:A50"/>
    <mergeCell ref="A30:A32"/>
    <mergeCell ref="K30:L30"/>
    <mergeCell ref="K31:L31"/>
    <mergeCell ref="A33:A35"/>
    <mergeCell ref="K34:L34"/>
    <mergeCell ref="A36:A38"/>
    <mergeCell ref="K23:L23"/>
    <mergeCell ref="A24:A26"/>
    <mergeCell ref="G26:H26"/>
    <mergeCell ref="A27:A29"/>
    <mergeCell ref="K27:L27"/>
    <mergeCell ref="K29:L29"/>
    <mergeCell ref="A15:B15"/>
    <mergeCell ref="A17:B17"/>
    <mergeCell ref="A18:A20"/>
    <mergeCell ref="J18:K18"/>
    <mergeCell ref="A21:A23"/>
    <mergeCell ref="G21:H21"/>
    <mergeCell ref="K21:L21"/>
    <mergeCell ref="G22:H22"/>
    <mergeCell ref="K22:L22"/>
    <mergeCell ref="G23:H23"/>
    <mergeCell ref="A12:B12"/>
    <mergeCell ref="N12:O12"/>
    <mergeCell ref="A13:B13"/>
    <mergeCell ref="N13:O13"/>
    <mergeCell ref="A14:B14"/>
    <mergeCell ref="N14:O14"/>
    <mergeCell ref="A8:B8"/>
    <mergeCell ref="N8:O8"/>
    <mergeCell ref="A9:B9"/>
    <mergeCell ref="N9:O9"/>
    <mergeCell ref="A10:B10"/>
    <mergeCell ref="A11:B11"/>
    <mergeCell ref="N11:P11"/>
    <mergeCell ref="A2:B2"/>
    <mergeCell ref="A3:B3"/>
    <mergeCell ref="A4:B4"/>
    <mergeCell ref="N6:P6"/>
    <mergeCell ref="A7:B7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15 meses</vt:lpstr>
      <vt:lpstr>anual (15)</vt:lpstr>
      <vt:lpstr>18 meses</vt:lpstr>
      <vt:lpstr>anual (18)</vt:lpstr>
      <vt:lpstr>15 meses1</vt:lpstr>
      <vt:lpstr>anual (15)1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2021-06-28T00:28:56Z</dcterms:created>
  <dcterms:modified xsi:type="dcterms:W3CDTF">2021-06-29T17:46:01Z</dcterms:modified>
</cp:coreProperties>
</file>