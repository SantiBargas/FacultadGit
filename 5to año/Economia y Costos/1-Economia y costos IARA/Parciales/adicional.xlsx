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ownloads\"/>
    </mc:Choice>
  </mc:AlternateContent>
  <xr:revisionPtr revIDLastSave="0" documentId="13_ncr:1_{8C2E62B0-B82C-4EC2-9324-779BF07A6704}" xr6:coauthVersionLast="45" xr6:coauthVersionMax="45" xr10:uidLastSave="{00000000-0000-0000-0000-000000000000}"/>
  <bookViews>
    <workbookView xWindow="-120" yWindow="-120" windowWidth="20730" windowHeight="11160" xr2:uid="{9F5D1B84-B79A-42F1-BF54-0F8A3F1926B9}"/>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1" i="2" l="1"/>
  <c r="F71" i="2" s="1"/>
  <c r="D71" i="2"/>
  <c r="G60" i="2"/>
  <c r="F60" i="2"/>
  <c r="J59" i="2"/>
  <c r="J61" i="2" s="1"/>
  <c r="E59" i="2"/>
  <c r="E73" i="2" s="1"/>
  <c r="F57" i="2"/>
  <c r="G57" i="2" s="1"/>
  <c r="H57" i="2" s="1"/>
  <c r="I57" i="2" s="1"/>
  <c r="J57" i="2" s="1"/>
  <c r="E57" i="2"/>
  <c r="D57" i="2"/>
  <c r="E55" i="2"/>
  <c r="I54" i="2"/>
  <c r="J60" i="2" s="1"/>
  <c r="H54" i="2"/>
  <c r="I60" i="2" s="1"/>
  <c r="G54" i="2"/>
  <c r="H60" i="2" s="1"/>
  <c r="F54" i="2"/>
  <c r="E54" i="2"/>
  <c r="E60" i="2" s="1"/>
  <c r="E74" i="2" s="1"/>
  <c r="I53" i="2"/>
  <c r="I55" i="2" s="1"/>
  <c r="H53" i="2"/>
  <c r="I59" i="2" s="1"/>
  <c r="G53" i="2"/>
  <c r="H59" i="2" s="1"/>
  <c r="F53" i="2"/>
  <c r="G59" i="2" s="1"/>
  <c r="E53" i="2"/>
  <c r="F59" i="2" s="1"/>
  <c r="E51" i="2"/>
  <c r="F51" i="2" s="1"/>
  <c r="G51" i="2" s="1"/>
  <c r="H51" i="2" s="1"/>
  <c r="I51" i="2" s="1"/>
  <c r="D51" i="2"/>
  <c r="D46" i="2"/>
  <c r="D52" i="2" s="1"/>
  <c r="D45" i="2"/>
  <c r="C52" i="2" s="1"/>
  <c r="R33" i="2"/>
  <c r="V32" i="2"/>
  <c r="V34" i="2" s="1"/>
  <c r="R31" i="2"/>
  <c r="S31" i="2" s="1"/>
  <c r="T31" i="2" s="1"/>
  <c r="U31" i="2" s="1"/>
  <c r="V31" i="2" s="1"/>
  <c r="W31" i="2" s="1"/>
  <c r="X31" i="2" s="1"/>
  <c r="Y31" i="2" s="1"/>
  <c r="Z31" i="2" s="1"/>
  <c r="AA31" i="2" s="1"/>
  <c r="AB31" i="2" s="1"/>
  <c r="AC31" i="2" s="1"/>
  <c r="AD31" i="2" s="1"/>
  <c r="G31" i="2"/>
  <c r="M32" i="2" s="1"/>
  <c r="G30" i="2"/>
  <c r="G32" i="2" s="1"/>
  <c r="K32" i="2" s="1"/>
  <c r="AB29" i="2"/>
  <c r="AA29" i="2"/>
  <c r="Z29" i="2"/>
  <c r="Y29" i="2"/>
  <c r="T29" i="2"/>
  <c r="S29" i="2"/>
  <c r="R29" i="2"/>
  <c r="Q29" i="2"/>
  <c r="Q28" i="2"/>
  <c r="AC27" i="2" s="1"/>
  <c r="G28" i="2"/>
  <c r="AB27" i="2"/>
  <c r="AA27" i="2"/>
  <c r="AB32" i="2" s="1"/>
  <c r="AB34" i="2" s="1"/>
  <c r="Z27" i="2"/>
  <c r="AA32" i="2" s="1"/>
  <c r="AA34" i="2" s="1"/>
  <c r="Y27" i="2"/>
  <c r="Z32" i="2" s="1"/>
  <c r="Z34" i="2" s="1"/>
  <c r="X27" i="2"/>
  <c r="X29" i="2" s="1"/>
  <c r="W27" i="2"/>
  <c r="W29" i="2" s="1"/>
  <c r="V27" i="2"/>
  <c r="V29" i="2" s="1"/>
  <c r="U27" i="2"/>
  <c r="U29" i="2" s="1"/>
  <c r="T27" i="2"/>
  <c r="U32" i="2" s="1"/>
  <c r="U34" i="2" s="1"/>
  <c r="S27" i="2"/>
  <c r="T32" i="2" s="1"/>
  <c r="T34" i="2" s="1"/>
  <c r="R27" i="2"/>
  <c r="S32" i="2" s="1"/>
  <c r="S34" i="2" s="1"/>
  <c r="G27" i="2"/>
  <c r="R26" i="2"/>
  <c r="S26" i="2" s="1"/>
  <c r="T26" i="2" s="1"/>
  <c r="U26" i="2" s="1"/>
  <c r="V26" i="2" s="1"/>
  <c r="W26" i="2" s="1"/>
  <c r="X26" i="2" s="1"/>
  <c r="Y26" i="2" s="1"/>
  <c r="Z26" i="2" s="1"/>
  <c r="AA26" i="2" s="1"/>
  <c r="AB26" i="2" s="1"/>
  <c r="AC26" i="2" s="1"/>
  <c r="G26" i="2"/>
  <c r="K26" i="2" s="1"/>
  <c r="P23" i="2"/>
  <c r="O23" i="2"/>
  <c r="P22" i="2"/>
  <c r="P21" i="2"/>
  <c r="S19" i="2"/>
  <c r="S20" i="2" s="1"/>
  <c r="G19" i="2"/>
  <c r="H19" i="2" s="1"/>
  <c r="I19" i="2" s="1"/>
  <c r="AC32" i="2" l="1"/>
  <c r="AC34" i="2" s="1"/>
  <c r="C58" i="2"/>
  <c r="D58" i="2"/>
  <c r="C55" i="2"/>
  <c r="E58" i="2"/>
  <c r="D55" i="2"/>
  <c r="K31" i="2"/>
  <c r="K27" i="2"/>
  <c r="M31" i="2" s="1"/>
  <c r="F73" i="2"/>
  <c r="F75" i="2" s="1"/>
  <c r="F61" i="2"/>
  <c r="G61" i="2"/>
  <c r="G73" i="2"/>
  <c r="G75" i="2" s="1"/>
  <c r="G74" i="2"/>
  <c r="AD32" i="2"/>
  <c r="AD34" i="2" s="1"/>
  <c r="AC29" i="2"/>
  <c r="AD29" i="2" s="1"/>
  <c r="K30" i="2"/>
  <c r="K19" i="2"/>
  <c r="M30" i="2" s="1"/>
  <c r="H73" i="2"/>
  <c r="H61" i="2"/>
  <c r="I73" i="2"/>
  <c r="I61" i="2"/>
  <c r="G71" i="2"/>
  <c r="H71" i="2" s="1"/>
  <c r="I71" i="2" s="1"/>
  <c r="J71" i="2" s="1"/>
  <c r="J74" i="2" s="1"/>
  <c r="F74" i="2"/>
  <c r="W32" i="2"/>
  <c r="W34" i="2" s="1"/>
  <c r="Q33" i="2"/>
  <c r="Q34" i="2" s="1"/>
  <c r="J73" i="2"/>
  <c r="X32" i="2"/>
  <c r="X34" i="2" s="1"/>
  <c r="Y32" i="2"/>
  <c r="Y34" i="2" s="1"/>
  <c r="R32" i="2"/>
  <c r="R34" i="2" s="1"/>
  <c r="F55" i="2"/>
  <c r="G55" i="2"/>
  <c r="H55" i="2"/>
  <c r="Q35" i="2" l="1"/>
  <c r="AE34" i="2"/>
  <c r="E72" i="2"/>
  <c r="E75" i="2" s="1"/>
  <c r="E61" i="2"/>
  <c r="J55" i="2"/>
  <c r="H74" i="2"/>
  <c r="H75" i="2" s="1"/>
  <c r="I74" i="2"/>
  <c r="I75" i="2" s="1"/>
  <c r="D61" i="2"/>
  <c r="D72" i="2"/>
  <c r="D75" i="2" s="1"/>
  <c r="J75" i="2"/>
  <c r="C61" i="2"/>
  <c r="C72" i="2"/>
  <c r="C75" i="2" s="1"/>
  <c r="C63" i="2" l="1"/>
  <c r="K61" i="2"/>
  <c r="C67" i="2"/>
  <c r="Q37" i="2"/>
  <c r="Q36" i="2"/>
  <c r="C77" i="2"/>
</calcChain>
</file>

<file path=xl/sharedStrings.xml><?xml version="1.0" encoding="utf-8"?>
<sst xmlns="http://schemas.openxmlformats.org/spreadsheetml/2006/main" count="97" uniqueCount="72">
  <si>
    <t>C0</t>
  </si>
  <si>
    <t>n</t>
  </si>
  <si>
    <t>Cf</t>
  </si>
  <si>
    <t>Egresos</t>
  </si>
  <si>
    <t>Ingresos</t>
  </si>
  <si>
    <t>Egresos actualizados</t>
  </si>
  <si>
    <t>FF actualizados</t>
  </si>
  <si>
    <t>VAN</t>
  </si>
  <si>
    <t>TIR anual</t>
  </si>
  <si>
    <t>Tasa mensual</t>
  </si>
  <si>
    <t>anual</t>
  </si>
  <si>
    <t>mensual</t>
  </si>
  <si>
    <t>Tasa</t>
  </si>
  <si>
    <t>Inversion</t>
  </si>
  <si>
    <t>FF discretizados</t>
  </si>
  <si>
    <t>FF</t>
  </si>
  <si>
    <t>Ingreso operativo</t>
  </si>
  <si>
    <t>Discretizados</t>
  </si>
  <si>
    <t>Egresos discretizados</t>
  </si>
  <si>
    <t>I. discre</t>
  </si>
  <si>
    <t>Alternativa 1</t>
  </si>
  <si>
    <t>Alternativa 2</t>
  </si>
  <si>
    <t>Ejercicio III</t>
  </si>
  <si>
    <t xml:space="preserve">A un ahorrista se le plantea la siguiente disyuntiva en la actualidad y pide su asesoramiento para asistirlo en la toma de decisiones tendiente a la identificación y selección de la alternativa más conveniente (a partir de la comparación de la tasa de rentabilidad de cada alternativa). El mismo ha ahorrado a lo largo del tiempo la suma de $1.000.000 y desea invertirlo y se le presentan las siguientes alternativas: </t>
  </si>
  <si>
    <t xml:space="preserve">1. Comprar acciones de YPF S. A. con la expectativa que se generen dos tipos de incrementos del capital invertido, fruto de la variación de la cotización de la acción y en función del reparto de utilidades de la empresa entre sus accionistas. Con respecto al primero de los puntos, se espera que al cabo de 18 meses aumente su cotización en un 21% para dicho período. A su vez, fruto de la cantidad de acciones a comprar y de las ganancias que se aspira genere la empresa se estima que el inversionista cobrará dividendos (rendimiento) por $137.300 al finalizar el mes número 18. </t>
  </si>
  <si>
    <t xml:space="preserve">2. Realizar una serie de depósitos a plazo fijo por un plazo total de 18 meses, para los cuáles, en función del 1.000.000 que se ofrece colocar, las tasas logradas serán del 21% anual para el primer semestre, del 23% anual para el segundo semestre y del 1,3% mensual para el tercer semestre. </t>
  </si>
  <si>
    <t>3. Su tercer opción es adquirir 6 inmuebles comerciales que ya se encuentran alquilados, y generan una renta neta mensual (monto de alquileres neto de comisiones y gastos de mantenimiento) de $14.000.</t>
  </si>
  <si>
    <t>Ahorrado</t>
  </si>
  <si>
    <t>1)</t>
  </si>
  <si>
    <t>Tasa efectiva</t>
  </si>
  <si>
    <t>Tasa equivalente anual</t>
  </si>
  <si>
    <t>Incremento de acciones</t>
  </si>
  <si>
    <t>18 meses</t>
  </si>
  <si>
    <t>TIR 18 meses</t>
  </si>
  <si>
    <t>Dividendos</t>
  </si>
  <si>
    <t>Egreso</t>
  </si>
  <si>
    <t>2)</t>
  </si>
  <si>
    <t>Tasa 1</t>
  </si>
  <si>
    <t>primer semestre</t>
  </si>
  <si>
    <t>Tasa (18 meses)</t>
  </si>
  <si>
    <t>3)</t>
  </si>
  <si>
    <t>Tasa 2</t>
  </si>
  <si>
    <t>segundo semestre</t>
  </si>
  <si>
    <t>Tasa 3</t>
  </si>
  <si>
    <t>tercer semestre</t>
  </si>
  <si>
    <t>Tasa p/ 18 meses</t>
  </si>
  <si>
    <t>Inmuebles</t>
  </si>
  <si>
    <t xml:space="preserve">Alquiler </t>
  </si>
  <si>
    <t>inversion</t>
  </si>
  <si>
    <t>T. equivalent p/18 meses</t>
  </si>
  <si>
    <t>Alternativa 3</t>
  </si>
  <si>
    <t>A este ahorrista, financieramente,  le conviene invertir la alternativa 1</t>
  </si>
  <si>
    <t>TIR MENSUAL</t>
  </si>
  <si>
    <t>TIR ANUAL</t>
  </si>
  <si>
    <t>Ejercicio IV</t>
  </si>
  <si>
    <t xml:space="preserve"> Le piden analizar una posibilidad de inversión de 3.000.000 para su construcción (2/3 el primer año y 1/3 el segundo). Se espera tener como egresos operativos 250.000$ anuales, durante sólo cinco años de operación. Los ingresos serán de 1.200.000 $/año. Ha recorrido los bancos de la ciudad y ha conseguido recopilar la siguiente información de tasas que podrían estar al alcance del inversor: 12,7%, 13% y 14% anual. . Los ingresos y egresos operativos se perciben/pagan al año siguiente inmediato de terminar la construcción. Realice los cálculos que crea conveniente y justifique su respuesta al inversor</t>
  </si>
  <si>
    <t>Primer año de construccion</t>
  </si>
  <si>
    <t>Segundo año de construccion</t>
  </si>
  <si>
    <t>Egresos operativos anuales</t>
  </si>
  <si>
    <t>Años de construccion</t>
  </si>
  <si>
    <t>Ingresos /año</t>
  </si>
  <si>
    <t>Años de operación</t>
  </si>
  <si>
    <t>Egresos operativos</t>
  </si>
  <si>
    <t>TIR DEL PROYECTO</t>
  </si>
  <si>
    <t>Tasa 3 (TIR)</t>
  </si>
  <si>
    <t>TIR BANCO &gt; TIR DEL PROYECTO</t>
  </si>
  <si>
    <t>VAN &lt; 0</t>
  </si>
  <si>
    <t>Financieramente conviene la alternativa del banco</t>
  </si>
  <si>
    <t>Rechazar el proyecto</t>
  </si>
  <si>
    <t>ACTUALIZADOS</t>
  </si>
  <si>
    <t>I. actualizad</t>
  </si>
  <si>
    <t>Me da igual q arriba,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</si>
</sst>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i/>
      <sz val="11"/>
      <color rgb="FF000000"/>
      <name val="Calibri"/>
      <family val="2"/>
    </font>
    <font>
      <sz val="11"/>
      <color theme="1"/>
      <name val="Calibri"/>
      <family val="2"/>
    </font>
    <font>
      <i/>
      <sz val="11"/>
      <color rgb="FF000000"/>
      <name val="Calibri"/>
      <family val="2"/>
    </font>
    <font>
      <b/>
      <i/>
      <sz val="11"/>
      <color rgb="FFFF0000"/>
      <name val="Calibri"/>
      <family val="2"/>
    </font>
  </fonts>
  <fills count="8">
    <fill>
      <patternFill patternType="none"/>
    </fill>
    <fill>
      <patternFill patternType="gray125"/>
    </fill>
    <fill>
      <patternFill patternType="solid">
        <fgColor rgb="FFFFFF00"/>
        <bgColor rgb="FF000000"/>
      </patternFill>
    </fill>
    <fill>
      <patternFill patternType="solid">
        <fgColor rgb="FFD0CECE"/>
        <bgColor rgb="FF000000"/>
      </patternFill>
    </fill>
    <fill>
      <patternFill patternType="solid">
        <fgColor rgb="FFB4C6E7"/>
        <bgColor rgb="FF000000"/>
      </patternFill>
    </fill>
    <fill>
      <patternFill patternType="solid">
        <fgColor rgb="FF8EA9DB"/>
        <bgColor rgb="FF000000"/>
      </patternFill>
    </fill>
    <fill>
      <patternFill patternType="solid">
        <fgColor rgb="FFFFD966"/>
        <bgColor rgb="FF000000"/>
      </patternFill>
    </fill>
    <fill>
      <patternFill patternType="solid">
        <fgColor rgb="FFF4B084"/>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2">
    <xf numFmtId="0" fontId="0" fillId="0" borderId="0" xfId="0"/>
    <xf numFmtId="0" fontId="2" fillId="2" borderId="0" xfId="0" applyFont="1" applyFill="1" applyAlignment="1">
      <alignment horizontal="right"/>
    </xf>
    <xf numFmtId="0" fontId="3" fillId="0" borderId="0" xfId="0" applyFont="1"/>
    <xf numFmtId="0" fontId="3" fillId="3" borderId="0" xfId="0" applyFont="1" applyFill="1" applyAlignment="1">
      <alignment wrapText="1"/>
    </xf>
    <xf numFmtId="0" fontId="3" fillId="0" borderId="0" xfId="0" applyFont="1" applyAlignment="1">
      <alignment horizontal="left" wrapText="1"/>
    </xf>
    <xf numFmtId="0" fontId="3" fillId="3" borderId="0" xfId="0" applyFont="1" applyFill="1"/>
    <xf numFmtId="0" fontId="3" fillId="0" borderId="0" xfId="0" applyFont="1" applyAlignment="1">
      <alignment horizontal="center"/>
    </xf>
    <xf numFmtId="0" fontId="2" fillId="0" borderId="0" xfId="0" applyFont="1" applyAlignment="1">
      <alignment horizontal="right"/>
    </xf>
    <xf numFmtId="0" fontId="4" fillId="0" borderId="0" xfId="0" applyFont="1" applyAlignment="1">
      <alignment horizontal="center"/>
    </xf>
    <xf numFmtId="0" fontId="4" fillId="0" borderId="0" xfId="0" applyFont="1"/>
    <xf numFmtId="0" fontId="3" fillId="0" borderId="1" xfId="0" applyFont="1" applyBorder="1" applyAlignment="1">
      <alignment horizontal="center"/>
    </xf>
    <xf numFmtId="10" fontId="2" fillId="2" borderId="1" xfId="1" applyNumberFormat="1" applyFont="1" applyFill="1" applyBorder="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2" fillId="2" borderId="1" xfId="0" applyFont="1" applyFill="1" applyBorder="1" applyAlignment="1">
      <alignment horizontal="center"/>
    </xf>
    <xf numFmtId="0" fontId="2" fillId="4" borderId="1" xfId="0" applyFont="1" applyFill="1" applyBorder="1" applyAlignment="1">
      <alignment horizontal="center"/>
    </xf>
    <xf numFmtId="0" fontId="2" fillId="0" borderId="0" xfId="0" applyFont="1" applyAlignment="1">
      <alignment horizontal="center"/>
    </xf>
    <xf numFmtId="0" fontId="3" fillId="0" borderId="0" xfId="0" applyFont="1" applyAlignment="1">
      <alignment vertical="center" wrapText="1"/>
    </xf>
    <xf numFmtId="0" fontId="3" fillId="0" borderId="2" xfId="0" applyFont="1" applyBorder="1" applyAlignment="1">
      <alignment horizontal="center"/>
    </xf>
    <xf numFmtId="10" fontId="3" fillId="0" borderId="1" xfId="0" applyNumberFormat="1" applyFont="1" applyBorder="1" applyAlignment="1">
      <alignment horizontal="center"/>
    </xf>
    <xf numFmtId="10" fontId="2" fillId="5" borderId="1" xfId="0" applyNumberFormat="1"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9" fontId="3" fillId="0" borderId="1" xfId="0" applyNumberFormat="1" applyFont="1" applyBorder="1" applyAlignment="1">
      <alignment horizontal="center"/>
    </xf>
    <xf numFmtId="0" fontId="2" fillId="5" borderId="1" xfId="0" applyFont="1" applyFill="1" applyBorder="1" applyAlignment="1">
      <alignment horizontal="center"/>
    </xf>
    <xf numFmtId="0" fontId="4" fillId="0" borderId="2" xfId="0" applyFont="1" applyBorder="1" applyAlignment="1">
      <alignment horizontal="center"/>
    </xf>
    <xf numFmtId="10" fontId="4" fillId="0" borderId="1" xfId="0" applyNumberFormat="1" applyFont="1" applyBorder="1" applyAlignment="1">
      <alignment horizontal="center"/>
    </xf>
    <xf numFmtId="0" fontId="2" fillId="5" borderId="1" xfId="0" applyFont="1" applyFill="1" applyBorder="1" applyAlignment="1">
      <alignment horizontal="center"/>
    </xf>
    <xf numFmtId="0" fontId="3" fillId="3" borderId="0" xfId="0" applyFont="1" applyFill="1" applyAlignment="1">
      <alignment horizontal="left" wrapText="1"/>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2" borderId="1" xfId="0" applyFont="1" applyFill="1" applyBorder="1" applyAlignment="1">
      <alignment horizontal="center" wrapText="1"/>
    </xf>
    <xf numFmtId="0" fontId="4" fillId="0" borderId="1" xfId="0" applyFont="1" applyBorder="1" applyAlignment="1">
      <alignment horizontal="center" wrapText="1"/>
    </xf>
    <xf numFmtId="0" fontId="3" fillId="0" borderId="1" xfId="0" applyFont="1" applyBorder="1" applyAlignment="1">
      <alignment horizontal="center" wrapText="1"/>
    </xf>
    <xf numFmtId="0" fontId="3" fillId="0" borderId="1" xfId="0" applyFont="1" applyBorder="1" applyAlignment="1">
      <alignment horizontal="center" wrapText="1"/>
    </xf>
    <xf numFmtId="9" fontId="4" fillId="0" borderId="1" xfId="0" applyNumberFormat="1" applyFont="1" applyBorder="1" applyAlignment="1">
      <alignment horizontal="center"/>
    </xf>
    <xf numFmtId="9" fontId="3" fillId="0" borderId="1" xfId="0" applyNumberFormat="1" applyFont="1" applyBorder="1" applyAlignment="1">
      <alignment horizontal="center" wrapText="1"/>
    </xf>
    <xf numFmtId="1" fontId="3" fillId="0" borderId="1" xfId="0" applyNumberFormat="1" applyFont="1" applyBorder="1" applyAlignment="1">
      <alignment horizontal="center" wrapText="1"/>
    </xf>
    <xf numFmtId="10" fontId="3" fillId="0" borderId="1" xfId="1" applyNumberFormat="1" applyFont="1" applyFill="1" applyBorder="1" applyAlignment="1">
      <alignment horizontal="center" wrapText="1"/>
    </xf>
    <xf numFmtId="10" fontId="2" fillId="2" borderId="1" xfId="1" applyNumberFormat="1" applyFont="1" applyFill="1" applyBorder="1" applyAlignment="1">
      <alignment horizontal="center" wrapText="1"/>
    </xf>
    <xf numFmtId="0" fontId="3" fillId="0" borderId="0" xfId="0" applyFont="1" applyAlignment="1">
      <alignment horizontal="center" wrapText="1"/>
    </xf>
    <xf numFmtId="1" fontId="3" fillId="0" borderId="0" xfId="0" applyNumberFormat="1" applyFont="1" applyAlignment="1">
      <alignment horizontal="center" wrapText="1"/>
    </xf>
    <xf numFmtId="1" fontId="3" fillId="0" borderId="1" xfId="0" applyNumberFormat="1" applyFont="1" applyBorder="1" applyAlignment="1">
      <alignment horizontal="center"/>
    </xf>
    <xf numFmtId="9" fontId="3" fillId="0" borderId="0" xfId="0" applyNumberFormat="1" applyFont="1" applyAlignment="1">
      <alignment horizontal="center" wrapText="1"/>
    </xf>
    <xf numFmtId="0" fontId="3" fillId="0" borderId="2" xfId="0" applyFont="1" applyBorder="1" applyAlignment="1">
      <alignment horizontal="center" wrapText="1"/>
    </xf>
    <xf numFmtId="10" fontId="3" fillId="0" borderId="1" xfId="0" applyNumberFormat="1" applyFont="1" applyBorder="1" applyAlignment="1">
      <alignment horizontal="center" wrapText="1"/>
    </xf>
    <xf numFmtId="10" fontId="2" fillId="2" borderId="1" xfId="1" applyNumberFormat="1" applyFont="1" applyFill="1" applyBorder="1" applyAlignment="1">
      <alignment horizontal="center" wrapText="1"/>
    </xf>
    <xf numFmtId="0" fontId="4" fillId="5" borderId="1" xfId="0" applyFont="1" applyFill="1" applyBorder="1" applyAlignment="1">
      <alignment horizontal="center" wrapText="1"/>
    </xf>
    <xf numFmtId="0" fontId="2" fillId="5" borderId="1" xfId="0" applyFont="1" applyFill="1" applyBorder="1" applyAlignment="1">
      <alignment horizontal="center" wrapText="1"/>
    </xf>
    <xf numFmtId="10" fontId="3" fillId="0" borderId="1" xfId="1" applyNumberFormat="1" applyFont="1" applyFill="1" applyBorder="1" applyAlignment="1">
      <alignment horizontal="center" wrapText="1"/>
    </xf>
    <xf numFmtId="10" fontId="4" fillId="5" borderId="1" xfId="0" applyNumberFormat="1" applyFont="1" applyFill="1" applyBorder="1" applyAlignment="1">
      <alignment horizontal="center" wrapText="1"/>
    </xf>
    <xf numFmtId="0" fontId="4" fillId="5" borderId="1" xfId="0" applyFont="1" applyFill="1" applyBorder="1" applyAlignment="1">
      <alignment horizontal="center" wrapText="1"/>
    </xf>
    <xf numFmtId="0" fontId="5" fillId="0" borderId="0" xfId="0" applyFont="1" applyAlignment="1">
      <alignment horizontal="center"/>
    </xf>
    <xf numFmtId="10" fontId="4" fillId="0" borderId="1" xfId="1" applyNumberFormat="1" applyFont="1" applyFill="1" applyBorder="1" applyAlignment="1">
      <alignment horizontal="center"/>
    </xf>
    <xf numFmtId="0" fontId="2" fillId="4" borderId="1" xfId="0" applyFont="1" applyFill="1" applyBorder="1" applyAlignment="1">
      <alignment horizontal="center"/>
    </xf>
    <xf numFmtId="0" fontId="2" fillId="6"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10" fontId="2" fillId="7" borderId="1" xfId="0" applyNumberFormat="1" applyFont="1" applyFill="1" applyBorder="1" applyAlignment="1">
      <alignment horizontal="center"/>
    </xf>
    <xf numFmtId="2" fontId="2" fillId="5" borderId="1" xfId="0" applyNumberFormat="1" applyFont="1" applyFill="1" applyBorder="1" applyAlignment="1">
      <alignment horizontal="center"/>
    </xf>
    <xf numFmtId="0" fontId="4" fillId="5" borderId="1" xfId="0"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FDC7-79C7-4C92-B918-6DA103346595}">
  <dimension ref="A1:AF83"/>
  <sheetViews>
    <sheetView tabSelected="1" workbookViewId="0">
      <selection sqref="A1:AF83"/>
    </sheetView>
  </sheetViews>
  <sheetFormatPr baseColWidth="10" defaultRowHeight="15" x14ac:dyDescent="0.25"/>
  <sheetData>
    <row r="1" spans="1:32" x14ac:dyDescent="0.25">
      <c r="A1" s="1" t="s">
        <v>22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x14ac:dyDescent="0.25">
      <c r="A2" s="2"/>
      <c r="B2" s="28" t="s">
        <v>23</v>
      </c>
      <c r="C2" s="28"/>
      <c r="D2" s="28"/>
      <c r="E2" s="28"/>
      <c r="F2" s="28"/>
      <c r="G2" s="28"/>
      <c r="H2" s="28"/>
      <c r="I2" s="28"/>
      <c r="J2" s="28"/>
      <c r="K2" s="28"/>
      <c r="L2" s="28"/>
      <c r="M2" s="28"/>
      <c r="N2" s="28"/>
      <c r="O2" s="2"/>
      <c r="P2" s="2"/>
      <c r="Q2" s="2"/>
      <c r="R2" s="2"/>
      <c r="S2" s="2"/>
      <c r="T2" s="2"/>
      <c r="U2" s="2"/>
      <c r="V2" s="2"/>
      <c r="W2" s="2"/>
      <c r="X2" s="2"/>
      <c r="Y2" s="2"/>
      <c r="Z2" s="2"/>
      <c r="AA2" s="2"/>
      <c r="AB2" s="2"/>
      <c r="AC2" s="2"/>
      <c r="AD2" s="2"/>
      <c r="AE2" s="2"/>
      <c r="AF2" s="2"/>
    </row>
    <row r="3" spans="1:32" x14ac:dyDescent="0.25">
      <c r="A3" s="2"/>
      <c r="B3" s="28"/>
      <c r="C3" s="28"/>
      <c r="D3" s="28"/>
      <c r="E3" s="28"/>
      <c r="F3" s="28"/>
      <c r="G3" s="28"/>
      <c r="H3" s="28"/>
      <c r="I3" s="28"/>
      <c r="J3" s="28"/>
      <c r="K3" s="28"/>
      <c r="L3" s="28"/>
      <c r="M3" s="28"/>
      <c r="N3" s="28"/>
      <c r="O3" s="2"/>
      <c r="P3" s="2"/>
      <c r="Q3" s="2"/>
      <c r="R3" s="2"/>
      <c r="S3" s="2"/>
      <c r="T3" s="2"/>
      <c r="U3" s="2"/>
      <c r="V3" s="2"/>
      <c r="W3" s="2"/>
      <c r="X3" s="2"/>
      <c r="Y3" s="2"/>
      <c r="Z3" s="2"/>
      <c r="AA3" s="2"/>
      <c r="AB3" s="2"/>
      <c r="AC3" s="2"/>
      <c r="AD3" s="2"/>
      <c r="AE3" s="2"/>
      <c r="AF3" s="2"/>
    </row>
    <row r="4" spans="1:32" x14ac:dyDescent="0.25">
      <c r="A4" s="2"/>
      <c r="B4" s="28"/>
      <c r="C4" s="28"/>
      <c r="D4" s="28"/>
      <c r="E4" s="28"/>
      <c r="F4" s="28"/>
      <c r="G4" s="28"/>
      <c r="H4" s="28"/>
      <c r="I4" s="28"/>
      <c r="J4" s="28"/>
      <c r="K4" s="28"/>
      <c r="L4" s="28"/>
      <c r="M4" s="28"/>
      <c r="N4" s="28"/>
      <c r="O4" s="2"/>
      <c r="P4" s="2"/>
      <c r="Q4" s="2"/>
      <c r="R4" s="2"/>
      <c r="S4" s="2"/>
      <c r="T4" s="2"/>
      <c r="U4" s="2"/>
      <c r="V4" s="2"/>
      <c r="W4" s="2"/>
      <c r="X4" s="2"/>
      <c r="Y4" s="2"/>
      <c r="Z4" s="2"/>
      <c r="AA4" s="2"/>
      <c r="AB4" s="2"/>
      <c r="AC4" s="2"/>
      <c r="AD4" s="2"/>
      <c r="AE4" s="2"/>
      <c r="AF4" s="2"/>
    </row>
    <row r="5" spans="1:32" x14ac:dyDescent="0.25">
      <c r="A5" s="2"/>
      <c r="B5" s="5"/>
      <c r="C5" s="5"/>
      <c r="D5" s="5"/>
      <c r="E5" s="5"/>
      <c r="F5" s="5"/>
      <c r="G5" s="5"/>
      <c r="H5" s="5"/>
      <c r="I5" s="5"/>
      <c r="J5" s="5"/>
      <c r="K5" s="5"/>
      <c r="L5" s="5"/>
      <c r="M5" s="5"/>
      <c r="N5" s="5"/>
      <c r="O5" s="2"/>
      <c r="P5" s="2"/>
      <c r="Q5" s="2"/>
      <c r="R5" s="2"/>
      <c r="S5" s="2"/>
      <c r="T5" s="2"/>
      <c r="U5" s="2"/>
      <c r="V5" s="2"/>
      <c r="W5" s="2"/>
      <c r="X5" s="2"/>
      <c r="Y5" s="2"/>
      <c r="Z5" s="2"/>
      <c r="AA5" s="2"/>
      <c r="AB5" s="2"/>
      <c r="AC5" s="2"/>
      <c r="AD5" s="2"/>
      <c r="AE5" s="2"/>
      <c r="AF5" s="2"/>
    </row>
    <row r="6" spans="1:32" x14ac:dyDescent="0.25">
      <c r="A6" s="2"/>
      <c r="B6" s="28" t="s">
        <v>24</v>
      </c>
      <c r="C6" s="28"/>
      <c r="D6" s="28"/>
      <c r="E6" s="28"/>
      <c r="F6" s="28"/>
      <c r="G6" s="28"/>
      <c r="H6" s="28"/>
      <c r="I6" s="28"/>
      <c r="J6" s="28"/>
      <c r="K6" s="28"/>
      <c r="L6" s="28"/>
      <c r="M6" s="28"/>
      <c r="N6" s="28"/>
      <c r="O6" s="2"/>
      <c r="P6" s="2"/>
      <c r="Q6" s="2"/>
      <c r="R6" s="2"/>
      <c r="S6" s="2"/>
      <c r="T6" s="2"/>
      <c r="U6" s="2"/>
      <c r="V6" s="2"/>
      <c r="W6" s="2"/>
      <c r="X6" s="2"/>
      <c r="Y6" s="2"/>
      <c r="Z6" s="2"/>
      <c r="AA6" s="2"/>
      <c r="AB6" s="2"/>
      <c r="AC6" s="2"/>
      <c r="AD6" s="2"/>
      <c r="AE6" s="2"/>
      <c r="AF6" s="2"/>
    </row>
    <row r="7" spans="1:32" x14ac:dyDescent="0.25">
      <c r="A7" s="2"/>
      <c r="B7" s="28"/>
      <c r="C7" s="28"/>
      <c r="D7" s="28"/>
      <c r="E7" s="28"/>
      <c r="F7" s="28"/>
      <c r="G7" s="28"/>
      <c r="H7" s="28"/>
      <c r="I7" s="28"/>
      <c r="J7" s="28"/>
      <c r="K7" s="28"/>
      <c r="L7" s="28"/>
      <c r="M7" s="28"/>
      <c r="N7" s="28"/>
      <c r="O7" s="2"/>
      <c r="P7" s="2"/>
      <c r="Q7" s="2"/>
      <c r="R7" s="2"/>
      <c r="S7" s="2"/>
      <c r="T7" s="2"/>
      <c r="U7" s="2"/>
      <c r="V7" s="2"/>
      <c r="W7" s="2"/>
      <c r="X7" s="2"/>
      <c r="Y7" s="2"/>
      <c r="Z7" s="2"/>
      <c r="AA7" s="2"/>
      <c r="AB7" s="2"/>
      <c r="AC7" s="2"/>
      <c r="AD7" s="2"/>
      <c r="AE7" s="2"/>
      <c r="AF7" s="2"/>
    </row>
    <row r="8" spans="1:32" x14ac:dyDescent="0.25">
      <c r="A8" s="2"/>
      <c r="B8" s="28"/>
      <c r="C8" s="28"/>
      <c r="D8" s="28"/>
      <c r="E8" s="28"/>
      <c r="F8" s="28"/>
      <c r="G8" s="28"/>
      <c r="H8" s="28"/>
      <c r="I8" s="28"/>
      <c r="J8" s="28"/>
      <c r="K8" s="28"/>
      <c r="L8" s="28"/>
      <c r="M8" s="28"/>
      <c r="N8" s="28"/>
      <c r="O8" s="2"/>
      <c r="P8" s="2"/>
      <c r="Q8" s="2"/>
      <c r="R8" s="2"/>
      <c r="S8" s="2"/>
      <c r="T8" s="2"/>
      <c r="U8" s="2"/>
      <c r="V8" s="2"/>
      <c r="W8" s="2"/>
      <c r="X8" s="2"/>
      <c r="Y8" s="2"/>
      <c r="Z8" s="2"/>
      <c r="AA8" s="2"/>
      <c r="AB8" s="2"/>
      <c r="AC8" s="2"/>
      <c r="AD8" s="2"/>
      <c r="AE8" s="2"/>
      <c r="AF8" s="2"/>
    </row>
    <row r="9" spans="1:32" x14ac:dyDescent="0.25">
      <c r="A9" s="2"/>
      <c r="B9" s="28"/>
      <c r="C9" s="28"/>
      <c r="D9" s="28"/>
      <c r="E9" s="28"/>
      <c r="F9" s="28"/>
      <c r="G9" s="28"/>
      <c r="H9" s="28"/>
      <c r="I9" s="28"/>
      <c r="J9" s="28"/>
      <c r="K9" s="28"/>
      <c r="L9" s="28"/>
      <c r="M9" s="28"/>
      <c r="N9" s="28"/>
      <c r="O9" s="2"/>
      <c r="P9" s="2"/>
      <c r="Q9" s="2"/>
      <c r="R9" s="2"/>
      <c r="S9" s="2"/>
      <c r="T9" s="2"/>
      <c r="U9" s="2"/>
      <c r="V9" s="2"/>
      <c r="W9" s="2"/>
      <c r="X9" s="2"/>
      <c r="Y9" s="2"/>
      <c r="Z9" s="2"/>
      <c r="AA9" s="2"/>
      <c r="AB9" s="2"/>
      <c r="AC9" s="2"/>
      <c r="AD9" s="2"/>
      <c r="AE9" s="2"/>
      <c r="AF9" s="2"/>
    </row>
    <row r="10" spans="1:32" x14ac:dyDescent="0.25">
      <c r="A10" s="2"/>
      <c r="B10" s="3"/>
      <c r="C10" s="3"/>
      <c r="D10" s="3"/>
      <c r="E10" s="3"/>
      <c r="F10" s="3"/>
      <c r="G10" s="3"/>
      <c r="H10" s="3"/>
      <c r="I10" s="3"/>
      <c r="J10" s="3"/>
      <c r="K10" s="3"/>
      <c r="L10" s="3"/>
      <c r="M10" s="3"/>
      <c r="N10" s="3"/>
      <c r="O10" s="2"/>
      <c r="P10" s="2"/>
      <c r="Q10" s="2"/>
      <c r="R10" s="2"/>
      <c r="S10" s="2"/>
      <c r="T10" s="2"/>
      <c r="U10" s="2"/>
      <c r="V10" s="2"/>
      <c r="W10" s="2"/>
      <c r="X10" s="2"/>
      <c r="Y10" s="2"/>
      <c r="Z10" s="2"/>
      <c r="AA10" s="2"/>
      <c r="AB10" s="2"/>
      <c r="AC10" s="2"/>
      <c r="AD10" s="2"/>
      <c r="AE10" s="2"/>
      <c r="AF10" s="2"/>
    </row>
    <row r="11" spans="1:32" x14ac:dyDescent="0.25">
      <c r="A11" s="2"/>
      <c r="B11" s="28" t="s">
        <v>25</v>
      </c>
      <c r="C11" s="28"/>
      <c r="D11" s="28"/>
      <c r="E11" s="28"/>
      <c r="F11" s="28"/>
      <c r="G11" s="28"/>
      <c r="H11" s="28"/>
      <c r="I11" s="28"/>
      <c r="J11" s="28"/>
      <c r="K11" s="28"/>
      <c r="L11" s="28"/>
      <c r="M11" s="28"/>
      <c r="N11" s="28"/>
      <c r="O11" s="2"/>
      <c r="P11" s="2"/>
      <c r="Q11" s="2"/>
      <c r="R11" s="2"/>
      <c r="S11" s="2"/>
      <c r="T11" s="2"/>
      <c r="U11" s="2"/>
      <c r="V11" s="2"/>
      <c r="W11" s="2"/>
      <c r="X11" s="2"/>
      <c r="Y11" s="2"/>
      <c r="Z11" s="2"/>
      <c r="AA11" s="2"/>
      <c r="AB11" s="2"/>
      <c r="AC11" s="2"/>
      <c r="AD11" s="2"/>
      <c r="AE11" s="2"/>
      <c r="AF11" s="2"/>
    </row>
    <row r="12" spans="1:32" x14ac:dyDescent="0.25">
      <c r="A12" s="2"/>
      <c r="B12" s="28"/>
      <c r="C12" s="28"/>
      <c r="D12" s="28"/>
      <c r="E12" s="28"/>
      <c r="F12" s="28"/>
      <c r="G12" s="28"/>
      <c r="H12" s="28"/>
      <c r="I12" s="28"/>
      <c r="J12" s="28"/>
      <c r="K12" s="28"/>
      <c r="L12" s="28"/>
      <c r="M12" s="28"/>
      <c r="N12" s="28"/>
      <c r="O12" s="2"/>
      <c r="P12" s="2"/>
      <c r="Q12" s="2"/>
      <c r="R12" s="2"/>
      <c r="S12" s="2"/>
      <c r="T12" s="2"/>
      <c r="U12" s="2"/>
      <c r="V12" s="2"/>
      <c r="W12" s="2"/>
      <c r="X12" s="2"/>
      <c r="Y12" s="2"/>
      <c r="Z12" s="2"/>
      <c r="AA12" s="2"/>
      <c r="AB12" s="2"/>
      <c r="AC12" s="2"/>
      <c r="AD12" s="2"/>
      <c r="AE12" s="2"/>
      <c r="AF12" s="2"/>
    </row>
    <row r="13" spans="1:32" x14ac:dyDescent="0.25">
      <c r="A13" s="2"/>
      <c r="B13" s="5"/>
      <c r="C13" s="5"/>
      <c r="D13" s="5"/>
      <c r="E13" s="5"/>
      <c r="F13" s="5"/>
      <c r="G13" s="5"/>
      <c r="H13" s="5"/>
      <c r="I13" s="5"/>
      <c r="J13" s="5"/>
      <c r="K13" s="5"/>
      <c r="L13" s="5"/>
      <c r="M13" s="5"/>
      <c r="N13" s="5"/>
      <c r="O13" s="2"/>
      <c r="P13" s="2"/>
      <c r="Q13" s="2"/>
      <c r="R13" s="2"/>
      <c r="S13" s="2"/>
      <c r="T13" s="2"/>
      <c r="U13" s="2"/>
      <c r="V13" s="2"/>
      <c r="W13" s="2"/>
      <c r="X13" s="2"/>
      <c r="Y13" s="2"/>
      <c r="Z13" s="2"/>
      <c r="AA13" s="2"/>
      <c r="AB13" s="2"/>
      <c r="AC13" s="2"/>
      <c r="AD13" s="2"/>
      <c r="AE13" s="2"/>
      <c r="AF13" s="2"/>
    </row>
    <row r="14" spans="1:32" x14ac:dyDescent="0.25">
      <c r="A14" s="2"/>
      <c r="B14" s="28" t="s">
        <v>26</v>
      </c>
      <c r="C14" s="28"/>
      <c r="D14" s="28"/>
      <c r="E14" s="28"/>
      <c r="F14" s="28"/>
      <c r="G14" s="28"/>
      <c r="H14" s="28"/>
      <c r="I14" s="28"/>
      <c r="J14" s="28"/>
      <c r="K14" s="28"/>
      <c r="L14" s="28"/>
      <c r="M14" s="28"/>
      <c r="N14" s="28"/>
      <c r="O14" s="2"/>
      <c r="P14" s="2"/>
      <c r="Q14" s="2"/>
      <c r="R14" s="2"/>
      <c r="S14" s="2"/>
      <c r="T14" s="2"/>
      <c r="U14" s="2"/>
      <c r="V14" s="2"/>
      <c r="W14" s="2"/>
      <c r="X14" s="2"/>
      <c r="Y14" s="2"/>
      <c r="Z14" s="2"/>
      <c r="AA14" s="2"/>
      <c r="AB14" s="2"/>
      <c r="AC14" s="2"/>
      <c r="AD14" s="2"/>
      <c r="AE14" s="2"/>
      <c r="AF14" s="2"/>
    </row>
    <row r="15" spans="1:32" x14ac:dyDescent="0.25">
      <c r="A15" s="2"/>
      <c r="B15" s="28"/>
      <c r="C15" s="28"/>
      <c r="D15" s="28"/>
      <c r="E15" s="28"/>
      <c r="F15" s="28"/>
      <c r="G15" s="28"/>
      <c r="H15" s="28"/>
      <c r="I15" s="28"/>
      <c r="J15" s="28"/>
      <c r="K15" s="28"/>
      <c r="L15" s="28"/>
      <c r="M15" s="28"/>
      <c r="N15" s="28"/>
      <c r="O15" s="2"/>
      <c r="P15" s="2"/>
      <c r="Q15" s="2"/>
      <c r="R15" s="2"/>
      <c r="S15" s="2"/>
      <c r="T15" s="2"/>
      <c r="U15" s="2"/>
      <c r="V15" s="2"/>
      <c r="W15" s="2"/>
      <c r="X15" s="2"/>
      <c r="Y15" s="2"/>
      <c r="Z15" s="2"/>
      <c r="AA15" s="2"/>
      <c r="AB15" s="2"/>
      <c r="AC15" s="2"/>
      <c r="AD15" s="2"/>
      <c r="AE15" s="2"/>
      <c r="AF15" s="2"/>
    </row>
    <row r="16" spans="1:32" x14ac:dyDescent="0.25">
      <c r="A16" s="2"/>
      <c r="B16" s="4"/>
      <c r="C16" s="4"/>
      <c r="D16" s="4"/>
      <c r="E16" s="4"/>
      <c r="F16" s="4"/>
      <c r="G16" s="4"/>
      <c r="H16" s="4"/>
      <c r="I16" s="4"/>
      <c r="J16" s="4"/>
      <c r="K16" s="4"/>
      <c r="L16" s="4"/>
      <c r="M16" s="4"/>
      <c r="N16" s="4"/>
      <c r="O16" s="2"/>
      <c r="P16" s="2"/>
      <c r="Q16" s="2"/>
      <c r="R16" s="2"/>
      <c r="S16" s="2"/>
      <c r="T16" s="2"/>
      <c r="U16" s="2"/>
      <c r="V16" s="2"/>
      <c r="W16" s="2"/>
      <c r="X16" s="2"/>
      <c r="Y16" s="2"/>
      <c r="Z16" s="2"/>
      <c r="AA16" s="2"/>
      <c r="AB16" s="2"/>
      <c r="AC16" s="2"/>
      <c r="AD16" s="2"/>
      <c r="AE16" s="2"/>
      <c r="AF16" s="2"/>
    </row>
    <row r="17" spans="1:32" x14ac:dyDescent="0.25">
      <c r="A17" s="2"/>
      <c r="B17" s="33" t="s">
        <v>27</v>
      </c>
      <c r="C17" s="34">
        <v>1000000</v>
      </c>
      <c r="D17" s="4"/>
      <c r="E17" s="4"/>
      <c r="F17" s="4"/>
      <c r="G17" s="4"/>
      <c r="H17" s="4"/>
      <c r="I17" s="4"/>
      <c r="J17" s="4"/>
      <c r="K17" s="4"/>
      <c r="L17" s="4"/>
      <c r="M17" s="4"/>
      <c r="N17" s="2"/>
      <c r="O17" s="2"/>
      <c r="P17" s="2"/>
      <c r="Q17" s="2"/>
      <c r="R17" s="2"/>
      <c r="S17" s="2"/>
      <c r="T17" s="2"/>
      <c r="U17" s="2"/>
      <c r="V17" s="2"/>
      <c r="W17" s="2"/>
      <c r="X17" s="2"/>
      <c r="Y17" s="2"/>
      <c r="Z17" s="2"/>
      <c r="AA17" s="2"/>
      <c r="AB17" s="2"/>
      <c r="AC17" s="2"/>
      <c r="AD17" s="2"/>
      <c r="AE17" s="2"/>
      <c r="AF17" s="2"/>
    </row>
    <row r="18" spans="1:32" x14ac:dyDescent="0.25">
      <c r="A18" s="7" t="s">
        <v>28</v>
      </c>
      <c r="B18" s="4"/>
      <c r="C18" s="4"/>
      <c r="D18" s="4"/>
      <c r="E18" s="4"/>
      <c r="F18" s="4"/>
      <c r="G18" s="34" t="s">
        <v>2</v>
      </c>
      <c r="H18" s="34"/>
      <c r="I18" s="35" t="s">
        <v>29</v>
      </c>
      <c r="J18" s="35"/>
      <c r="K18" s="32" t="s">
        <v>30</v>
      </c>
      <c r="L18" s="32"/>
      <c r="M18" s="4"/>
      <c r="N18" s="4"/>
      <c r="O18" s="13" t="s">
        <v>12</v>
      </c>
      <c r="P18" s="36">
        <v>0.21</v>
      </c>
      <c r="Q18" s="2"/>
      <c r="R18" s="2"/>
      <c r="S18" s="2"/>
      <c r="T18" s="2"/>
      <c r="U18" s="2"/>
      <c r="V18" s="2"/>
      <c r="W18" s="2"/>
      <c r="X18" s="2"/>
      <c r="Y18" s="2"/>
      <c r="Z18" s="2"/>
      <c r="AA18" s="2"/>
      <c r="AB18" s="2"/>
      <c r="AC18" s="2"/>
      <c r="AD18" s="2"/>
      <c r="AE18" s="2"/>
      <c r="AF18" s="2"/>
    </row>
    <row r="19" spans="1:32" x14ac:dyDescent="0.25">
      <c r="A19" s="2"/>
      <c r="B19" s="29" t="s">
        <v>31</v>
      </c>
      <c r="C19" s="29"/>
      <c r="D19" s="37">
        <v>0.21</v>
      </c>
      <c r="E19" s="34" t="s">
        <v>32</v>
      </c>
      <c r="F19" s="4"/>
      <c r="G19" s="34">
        <f>C17*(1+D19)^(18/18)</f>
        <v>1210000</v>
      </c>
      <c r="H19" s="38">
        <f>G19+D20</f>
        <v>1347300</v>
      </c>
      <c r="I19" s="39">
        <f>(H19/C17)-1</f>
        <v>0.34729999999999994</v>
      </c>
      <c r="J19" s="39"/>
      <c r="K19" s="40">
        <f>((I19+1)^(12/18))-1</f>
        <v>0.21985873353110086</v>
      </c>
      <c r="L19" s="40"/>
      <c r="M19" s="4"/>
      <c r="N19" s="34"/>
      <c r="O19" s="10">
        <v>0</v>
      </c>
      <c r="P19" s="10">
        <v>1</v>
      </c>
      <c r="Q19" s="2"/>
      <c r="R19" s="10" t="s">
        <v>33</v>
      </c>
      <c r="S19" s="19">
        <f>IRR(O23:P23)</f>
        <v>0.34730000000000016</v>
      </c>
      <c r="T19" s="2"/>
      <c r="U19" s="2"/>
      <c r="V19" s="2"/>
      <c r="W19" s="2"/>
      <c r="X19" s="2"/>
      <c r="Y19" s="2"/>
      <c r="Z19" s="2"/>
      <c r="AA19" s="2"/>
      <c r="AB19" s="2"/>
      <c r="AC19" s="2"/>
      <c r="AD19" s="2"/>
      <c r="AE19" s="2"/>
      <c r="AF19" s="2"/>
    </row>
    <row r="20" spans="1:32" x14ac:dyDescent="0.25">
      <c r="A20" s="2"/>
      <c r="B20" s="29" t="s">
        <v>34</v>
      </c>
      <c r="C20" s="29"/>
      <c r="D20" s="38">
        <v>137300</v>
      </c>
      <c r="E20" s="34"/>
      <c r="F20" s="4"/>
      <c r="G20" s="41"/>
      <c r="H20" s="41"/>
      <c r="I20" s="41"/>
      <c r="J20" s="41"/>
      <c r="K20" s="4"/>
      <c r="L20" s="4"/>
      <c r="M20" s="4"/>
      <c r="N20" s="34" t="s">
        <v>35</v>
      </c>
      <c r="O20" s="10">
        <v>-1000000</v>
      </c>
      <c r="P20" s="10"/>
      <c r="Q20" s="2"/>
      <c r="R20" s="14" t="s">
        <v>8</v>
      </c>
      <c r="S20" s="11">
        <f>((1+S19)^(12/18))-1</f>
        <v>0.21985873353110086</v>
      </c>
      <c r="T20" s="2"/>
      <c r="U20" s="2"/>
      <c r="V20" s="2"/>
      <c r="W20" s="2"/>
      <c r="X20" s="2"/>
      <c r="Y20" s="2"/>
      <c r="Z20" s="2"/>
      <c r="AA20" s="2"/>
      <c r="AB20" s="2"/>
      <c r="AC20" s="2"/>
      <c r="AD20" s="2"/>
      <c r="AE20" s="2"/>
      <c r="AF20" s="2"/>
    </row>
    <row r="21" spans="1:32" x14ac:dyDescent="0.25">
      <c r="A21" s="2"/>
      <c r="B21" s="6"/>
      <c r="C21" s="6"/>
      <c r="D21" s="42"/>
      <c r="E21" s="41"/>
      <c r="F21" s="4"/>
      <c r="G21" s="41"/>
      <c r="H21" s="41"/>
      <c r="I21" s="41"/>
      <c r="J21" s="41"/>
      <c r="K21" s="4"/>
      <c r="L21" s="4"/>
      <c r="M21" s="4"/>
      <c r="N21" s="34" t="s">
        <v>4</v>
      </c>
      <c r="O21" s="10"/>
      <c r="P21" s="10">
        <f>-((O20*P18)+O20)</f>
        <v>1210000</v>
      </c>
      <c r="Q21" s="2"/>
      <c r="R21" s="2"/>
      <c r="S21" s="2"/>
      <c r="T21" s="2"/>
      <c r="U21" s="2"/>
      <c r="V21" s="2"/>
      <c r="W21" s="2"/>
      <c r="X21" s="2"/>
      <c r="Y21" s="2"/>
      <c r="Z21" s="2"/>
      <c r="AA21" s="2"/>
      <c r="AB21" s="2"/>
      <c r="AC21" s="2"/>
      <c r="AD21" s="2"/>
      <c r="AE21" s="2"/>
      <c r="AF21" s="2"/>
    </row>
    <row r="22" spans="1:32" x14ac:dyDescent="0.25">
      <c r="A22" s="2"/>
      <c r="B22" s="6"/>
      <c r="C22" s="6"/>
      <c r="D22" s="42"/>
      <c r="E22" s="41"/>
      <c r="F22" s="4"/>
      <c r="G22" s="41"/>
      <c r="H22" s="41"/>
      <c r="I22" s="41"/>
      <c r="J22" s="41"/>
      <c r="K22" s="4"/>
      <c r="L22" s="4"/>
      <c r="M22" s="4"/>
      <c r="N22" s="34"/>
      <c r="O22" s="10"/>
      <c r="P22" s="43">
        <f>D20</f>
        <v>137300</v>
      </c>
      <c r="Q22" s="2"/>
      <c r="R22" s="2"/>
      <c r="S22" s="2"/>
      <c r="T22" s="2"/>
      <c r="U22" s="2"/>
      <c r="V22" s="2"/>
      <c r="W22" s="2"/>
      <c r="X22" s="2"/>
      <c r="Y22" s="2"/>
      <c r="Z22" s="2"/>
      <c r="AA22" s="2"/>
      <c r="AB22" s="2"/>
      <c r="AC22" s="2"/>
      <c r="AD22" s="2"/>
      <c r="AE22" s="2"/>
      <c r="AF22" s="2"/>
    </row>
    <row r="23" spans="1:32" x14ac:dyDescent="0.25">
      <c r="A23" s="2"/>
      <c r="B23" s="6"/>
      <c r="C23" s="6"/>
      <c r="D23" s="42"/>
      <c r="E23" s="41"/>
      <c r="F23" s="4"/>
      <c r="G23" s="41"/>
      <c r="H23" s="41"/>
      <c r="I23" s="41"/>
      <c r="J23" s="41"/>
      <c r="K23" s="4"/>
      <c r="L23" s="4"/>
      <c r="M23" s="4"/>
      <c r="N23" s="34" t="s">
        <v>15</v>
      </c>
      <c r="O23" s="10">
        <f>SUM(O20:O22)</f>
        <v>-1000000</v>
      </c>
      <c r="P23" s="10">
        <f>SUM(P20:P22)</f>
        <v>1347300</v>
      </c>
      <c r="Q23" s="2"/>
      <c r="R23" s="2"/>
      <c r="S23" s="2"/>
      <c r="T23" s="2"/>
      <c r="U23" s="2"/>
      <c r="V23" s="2"/>
      <c r="W23" s="2"/>
      <c r="X23" s="2"/>
      <c r="Y23" s="2"/>
      <c r="Z23" s="2"/>
      <c r="AA23" s="2"/>
      <c r="AB23" s="2"/>
      <c r="AC23" s="2"/>
      <c r="AD23" s="2"/>
      <c r="AE23" s="2"/>
      <c r="AF23" s="2"/>
    </row>
    <row r="24" spans="1:32" x14ac:dyDescent="0.25">
      <c r="A24" s="2"/>
      <c r="B24" s="6"/>
      <c r="C24" s="6"/>
      <c r="D24" s="44"/>
      <c r="E24" s="41"/>
      <c r="F24" s="4"/>
      <c r="G24" s="41"/>
      <c r="H24" s="41"/>
      <c r="I24" s="41"/>
      <c r="J24" s="41"/>
      <c r="K24" s="4"/>
      <c r="L24" s="4"/>
      <c r="M24" s="4"/>
      <c r="N24" s="2"/>
      <c r="O24" s="2"/>
      <c r="P24" s="2"/>
      <c r="Q24" s="2"/>
      <c r="R24" s="2"/>
      <c r="S24" s="2"/>
      <c r="T24" s="2"/>
      <c r="U24" s="2"/>
      <c r="V24" s="2"/>
      <c r="W24" s="2"/>
      <c r="X24" s="2"/>
      <c r="Y24" s="2"/>
      <c r="Z24" s="2"/>
      <c r="AA24" s="2"/>
      <c r="AB24" s="2"/>
      <c r="AC24" s="2"/>
      <c r="AD24" s="2"/>
      <c r="AE24" s="2"/>
      <c r="AF24" s="2"/>
    </row>
    <row r="25" spans="1:32" x14ac:dyDescent="0.25">
      <c r="A25" s="7" t="s">
        <v>36</v>
      </c>
      <c r="B25" s="10" t="s">
        <v>0</v>
      </c>
      <c r="C25" s="10">
        <v>1000000</v>
      </c>
      <c r="D25" s="44"/>
      <c r="E25" s="41"/>
      <c r="F25" s="4"/>
      <c r="G25" s="34" t="s">
        <v>1</v>
      </c>
      <c r="H25" s="41"/>
      <c r="I25" s="41"/>
      <c r="J25" s="41"/>
      <c r="K25" s="4"/>
      <c r="L25" s="4"/>
      <c r="M25" s="4"/>
      <c r="N25" s="2"/>
      <c r="O25" s="2"/>
      <c r="P25" s="2"/>
      <c r="Q25" s="2"/>
      <c r="R25" s="2"/>
      <c r="S25" s="2"/>
      <c r="T25" s="2"/>
      <c r="U25" s="2"/>
      <c r="V25" s="2"/>
      <c r="W25" s="2"/>
      <c r="X25" s="2"/>
      <c r="Y25" s="2"/>
      <c r="Z25" s="2"/>
      <c r="AA25" s="2"/>
      <c r="AB25" s="2"/>
      <c r="AC25" s="2"/>
      <c r="AD25" s="2"/>
      <c r="AE25" s="2"/>
      <c r="AF25" s="2"/>
    </row>
    <row r="26" spans="1:32" x14ac:dyDescent="0.25">
      <c r="A26" s="2"/>
      <c r="B26" s="10" t="s">
        <v>37</v>
      </c>
      <c r="C26" s="23">
        <v>0.21</v>
      </c>
      <c r="D26" s="37" t="s">
        <v>10</v>
      </c>
      <c r="E26" s="35" t="s">
        <v>38</v>
      </c>
      <c r="F26" s="45"/>
      <c r="G26" s="34">
        <f>6/12</f>
        <v>0.5</v>
      </c>
      <c r="H26" s="41"/>
      <c r="I26" s="29" t="s">
        <v>39</v>
      </c>
      <c r="J26" s="29"/>
      <c r="K26" s="46">
        <f>((1+C26)^(G26)*(1+C27)^(G27)*(1+C28)^(G28))-1</f>
        <v>0.31826254540639454</v>
      </c>
      <c r="L26" s="4"/>
      <c r="M26" s="4"/>
      <c r="N26" s="4"/>
      <c r="O26" s="7" t="s">
        <v>40</v>
      </c>
      <c r="P26" s="10"/>
      <c r="Q26" s="10">
        <v>1</v>
      </c>
      <c r="R26" s="10">
        <f>Q26+1</f>
        <v>2</v>
      </c>
      <c r="S26" s="10">
        <f t="shared" ref="S26:AC26" si="0">R26+1</f>
        <v>3</v>
      </c>
      <c r="T26" s="10">
        <f t="shared" si="0"/>
        <v>4</v>
      </c>
      <c r="U26" s="10">
        <f t="shared" si="0"/>
        <v>5</v>
      </c>
      <c r="V26" s="10">
        <f t="shared" si="0"/>
        <v>6</v>
      </c>
      <c r="W26" s="10">
        <f t="shared" si="0"/>
        <v>7</v>
      </c>
      <c r="X26" s="10">
        <f t="shared" si="0"/>
        <v>8</v>
      </c>
      <c r="Y26" s="10">
        <f t="shared" si="0"/>
        <v>9</v>
      </c>
      <c r="Z26" s="10">
        <f>Y26+1</f>
        <v>10</v>
      </c>
      <c r="AA26" s="10">
        <f t="shared" si="0"/>
        <v>11</v>
      </c>
      <c r="AB26" s="10">
        <f>AA26+1</f>
        <v>12</v>
      </c>
      <c r="AC26" s="10">
        <f t="shared" si="0"/>
        <v>13</v>
      </c>
      <c r="AD26" s="2"/>
      <c r="AE26" s="2"/>
      <c r="AF26" s="2"/>
    </row>
    <row r="27" spans="1:32" x14ac:dyDescent="0.25">
      <c r="A27" s="2"/>
      <c r="B27" s="10" t="s">
        <v>41</v>
      </c>
      <c r="C27" s="23">
        <v>0.23</v>
      </c>
      <c r="D27" s="37" t="s">
        <v>10</v>
      </c>
      <c r="E27" s="35" t="s">
        <v>42</v>
      </c>
      <c r="F27" s="45"/>
      <c r="G27" s="34">
        <f t="shared" ref="G27" si="1">6/12</f>
        <v>0.5</v>
      </c>
      <c r="H27" s="41"/>
      <c r="I27" s="32" t="s">
        <v>30</v>
      </c>
      <c r="J27" s="32"/>
      <c r="K27" s="47">
        <f>((K26+1)^(12/18))-1</f>
        <v>0.20226796522157486</v>
      </c>
      <c r="L27" s="4"/>
      <c r="M27" s="4"/>
      <c r="N27" s="4"/>
      <c r="O27" s="2"/>
      <c r="P27" s="10" t="s">
        <v>4</v>
      </c>
      <c r="Q27" s="10"/>
      <c r="R27" s="10">
        <f>$C$31</f>
        <v>14000</v>
      </c>
      <c r="S27" s="10">
        <f t="shared" ref="S27:AB27" si="2">$C$31</f>
        <v>14000</v>
      </c>
      <c r="T27" s="10">
        <f t="shared" si="2"/>
        <v>14000</v>
      </c>
      <c r="U27" s="10">
        <f t="shared" si="2"/>
        <v>14000</v>
      </c>
      <c r="V27" s="10">
        <f t="shared" si="2"/>
        <v>14000</v>
      </c>
      <c r="W27" s="10">
        <f t="shared" si="2"/>
        <v>14000</v>
      </c>
      <c r="X27" s="10">
        <f t="shared" si="2"/>
        <v>14000</v>
      </c>
      <c r="Y27" s="10">
        <f t="shared" si="2"/>
        <v>14000</v>
      </c>
      <c r="Z27" s="10">
        <f t="shared" si="2"/>
        <v>14000</v>
      </c>
      <c r="AA27" s="10">
        <f t="shared" si="2"/>
        <v>14000</v>
      </c>
      <c r="AB27" s="10">
        <f t="shared" si="2"/>
        <v>14000</v>
      </c>
      <c r="AC27" s="10">
        <f>$C$31+-Q28</f>
        <v>1014000</v>
      </c>
      <c r="AD27" s="2"/>
      <c r="AE27" s="2"/>
      <c r="AF27" s="2"/>
    </row>
    <row r="28" spans="1:32" x14ac:dyDescent="0.25">
      <c r="A28" s="2"/>
      <c r="B28" s="10" t="s">
        <v>43</v>
      </c>
      <c r="C28" s="19">
        <v>1.2999999999999999E-2</v>
      </c>
      <c r="D28" s="37" t="s">
        <v>11</v>
      </c>
      <c r="E28" s="35" t="s">
        <v>44</v>
      </c>
      <c r="F28" s="45"/>
      <c r="G28" s="34">
        <f>6/1</f>
        <v>6</v>
      </c>
      <c r="H28" s="41"/>
      <c r="I28" s="41"/>
      <c r="J28" s="41"/>
      <c r="K28" s="4"/>
      <c r="L28" s="4"/>
      <c r="M28" s="4"/>
      <c r="N28" s="4"/>
      <c r="O28" s="2"/>
      <c r="P28" s="10" t="s">
        <v>3</v>
      </c>
      <c r="Q28" s="10">
        <f>-C32</f>
        <v>-1000000</v>
      </c>
      <c r="R28" s="10"/>
      <c r="S28" s="10"/>
      <c r="T28" s="10"/>
      <c r="U28" s="10"/>
      <c r="V28" s="10"/>
      <c r="W28" s="10"/>
      <c r="X28" s="10"/>
      <c r="Y28" s="10"/>
      <c r="Z28" s="10"/>
      <c r="AA28" s="10"/>
      <c r="AB28" s="10"/>
      <c r="AC28" s="10"/>
      <c r="AD28" s="2"/>
      <c r="AE28" s="2"/>
      <c r="AF28" s="2"/>
    </row>
    <row r="29" spans="1:32" x14ac:dyDescent="0.25">
      <c r="A29" s="2"/>
      <c r="B29" s="6"/>
      <c r="C29" s="6"/>
      <c r="D29" s="44"/>
      <c r="E29" s="41"/>
      <c r="F29" s="4"/>
      <c r="G29" s="41"/>
      <c r="H29" s="41"/>
      <c r="I29" s="41"/>
      <c r="J29" s="48"/>
      <c r="K29" s="49" t="s">
        <v>45</v>
      </c>
      <c r="L29" s="49"/>
      <c r="M29" s="49" t="s">
        <v>30</v>
      </c>
      <c r="N29" s="49"/>
      <c r="O29" s="2"/>
      <c r="P29" s="10" t="s">
        <v>15</v>
      </c>
      <c r="Q29" s="10">
        <f>SUM(Q27:Q28)</f>
        <v>-1000000</v>
      </c>
      <c r="R29" s="10">
        <f t="shared" ref="R29:AC29" si="3">SUM(R27:R28)</f>
        <v>14000</v>
      </c>
      <c r="S29" s="10">
        <f t="shared" si="3"/>
        <v>14000</v>
      </c>
      <c r="T29" s="10">
        <f t="shared" si="3"/>
        <v>14000</v>
      </c>
      <c r="U29" s="10">
        <f t="shared" si="3"/>
        <v>14000</v>
      </c>
      <c r="V29" s="10">
        <f t="shared" si="3"/>
        <v>14000</v>
      </c>
      <c r="W29" s="10">
        <f t="shared" si="3"/>
        <v>14000</v>
      </c>
      <c r="X29" s="10">
        <f t="shared" si="3"/>
        <v>14000</v>
      </c>
      <c r="Y29" s="10">
        <f t="shared" si="3"/>
        <v>14000</v>
      </c>
      <c r="Z29" s="10">
        <f t="shared" si="3"/>
        <v>14000</v>
      </c>
      <c r="AA29" s="10">
        <f t="shared" si="3"/>
        <v>14000</v>
      </c>
      <c r="AB29" s="10">
        <f t="shared" si="3"/>
        <v>14000</v>
      </c>
      <c r="AC29" s="10">
        <f t="shared" si="3"/>
        <v>1014000</v>
      </c>
      <c r="AD29" s="2">
        <f>SUM(Q29:AC29)</f>
        <v>168000</v>
      </c>
      <c r="AE29" s="2"/>
      <c r="AF29" s="2"/>
    </row>
    <row r="30" spans="1:32" ht="30" x14ac:dyDescent="0.25">
      <c r="A30" s="7" t="s">
        <v>40</v>
      </c>
      <c r="B30" s="10" t="s">
        <v>46</v>
      </c>
      <c r="C30" s="10">
        <v>6</v>
      </c>
      <c r="D30" s="44"/>
      <c r="E30" s="35" t="s">
        <v>9</v>
      </c>
      <c r="F30" s="35"/>
      <c r="G30" s="50">
        <f>C31/C32</f>
        <v>1.4E-2</v>
      </c>
      <c r="H30" s="41"/>
      <c r="I30" s="41"/>
      <c r="J30" s="48" t="s">
        <v>20</v>
      </c>
      <c r="K30" s="51">
        <f>$I$19</f>
        <v>0.34729999999999994</v>
      </c>
      <c r="L30" s="52"/>
      <c r="M30" s="51">
        <f>$K$19</f>
        <v>0.21985873353110086</v>
      </c>
      <c r="N30" s="52"/>
      <c r="O30" s="2"/>
      <c r="P30" s="6"/>
      <c r="Q30" s="6"/>
      <c r="R30" s="6"/>
      <c r="S30" s="6"/>
      <c r="T30" s="6"/>
      <c r="U30" s="6"/>
      <c r="V30" s="6"/>
      <c r="W30" s="6"/>
      <c r="X30" s="6"/>
      <c r="Y30" s="6"/>
      <c r="Z30" s="6"/>
      <c r="AA30" s="6"/>
      <c r="AB30" s="6"/>
      <c r="AC30" s="6"/>
      <c r="AD30" s="2"/>
      <c r="AE30" s="2"/>
      <c r="AF30" s="2"/>
    </row>
    <row r="31" spans="1:32" ht="30" x14ac:dyDescent="0.25">
      <c r="A31" s="2"/>
      <c r="B31" s="10" t="s">
        <v>47</v>
      </c>
      <c r="C31" s="10">
        <v>14000</v>
      </c>
      <c r="D31" s="44"/>
      <c r="E31" s="32" t="s">
        <v>30</v>
      </c>
      <c r="F31" s="32"/>
      <c r="G31" s="47">
        <f>((G30+1)^(12/1))-1</f>
        <v>0.18155912891812287</v>
      </c>
      <c r="H31" s="41"/>
      <c r="I31" s="41"/>
      <c r="J31" s="48" t="s">
        <v>21</v>
      </c>
      <c r="K31" s="51">
        <f>$K$26</f>
        <v>0.31826254540639454</v>
      </c>
      <c r="L31" s="52"/>
      <c r="M31" s="51">
        <f>$K$27</f>
        <v>0.20226796522157486</v>
      </c>
      <c r="N31" s="52"/>
      <c r="O31" s="2"/>
      <c r="P31" s="10" t="s">
        <v>17</v>
      </c>
      <c r="Q31" s="10">
        <v>0</v>
      </c>
      <c r="R31" s="10">
        <f>Q31+1</f>
        <v>1</v>
      </c>
      <c r="S31" s="10">
        <f t="shared" ref="S31:AD31" si="4">R31+1</f>
        <v>2</v>
      </c>
      <c r="T31" s="10">
        <f t="shared" si="4"/>
        <v>3</v>
      </c>
      <c r="U31" s="10">
        <f t="shared" si="4"/>
        <v>4</v>
      </c>
      <c r="V31" s="10">
        <f t="shared" si="4"/>
        <v>5</v>
      </c>
      <c r="W31" s="10">
        <f t="shared" si="4"/>
        <v>6</v>
      </c>
      <c r="X31" s="10">
        <f t="shared" si="4"/>
        <v>7</v>
      </c>
      <c r="Y31" s="10">
        <f t="shared" si="4"/>
        <v>8</v>
      </c>
      <c r="Z31" s="10">
        <f t="shared" si="4"/>
        <v>9</v>
      </c>
      <c r="AA31" s="10">
        <f t="shared" si="4"/>
        <v>10</v>
      </c>
      <c r="AB31" s="10">
        <f t="shared" si="4"/>
        <v>11</v>
      </c>
      <c r="AC31" s="10">
        <f t="shared" si="4"/>
        <v>12</v>
      </c>
      <c r="AD31" s="10">
        <f t="shared" si="4"/>
        <v>13</v>
      </c>
      <c r="AE31" s="2"/>
      <c r="AF31" s="2"/>
    </row>
    <row r="32" spans="1:32" ht="30" x14ac:dyDescent="0.25">
      <c r="A32" s="2"/>
      <c r="B32" s="10" t="s">
        <v>48</v>
      </c>
      <c r="C32" s="10">
        <v>1000000</v>
      </c>
      <c r="D32" s="2"/>
      <c r="E32" s="32" t="s">
        <v>49</v>
      </c>
      <c r="F32" s="32"/>
      <c r="G32" s="47">
        <f>((G30+1)^(18/1))-1</f>
        <v>0.2843494082346143</v>
      </c>
      <c r="H32" s="2"/>
      <c r="I32" s="2"/>
      <c r="J32" s="48" t="s">
        <v>50</v>
      </c>
      <c r="K32" s="51">
        <f>$G$32</f>
        <v>0.2843494082346143</v>
      </c>
      <c r="L32" s="52"/>
      <c r="M32" s="51">
        <f>$G$31</f>
        <v>0.18155912891812287</v>
      </c>
      <c r="N32" s="52"/>
      <c r="O32" s="2"/>
      <c r="P32" s="10" t="s">
        <v>4</v>
      </c>
      <c r="Q32" s="10"/>
      <c r="R32" s="10">
        <f>(Q27*0.5)+(R27*0.5)</f>
        <v>7000</v>
      </c>
      <c r="S32" s="10">
        <f>(R27*0.5)+(S27*0.5)</f>
        <v>14000</v>
      </c>
      <c r="T32" s="10">
        <f t="shared" ref="T32:AB32" si="5">(S27*0.5)+(T27*0.5)</f>
        <v>14000</v>
      </c>
      <c r="U32" s="10">
        <f t="shared" si="5"/>
        <v>14000</v>
      </c>
      <c r="V32" s="10">
        <f t="shared" si="5"/>
        <v>14000</v>
      </c>
      <c r="W32" s="10">
        <f t="shared" si="5"/>
        <v>14000</v>
      </c>
      <c r="X32" s="10">
        <f t="shared" si="5"/>
        <v>14000</v>
      </c>
      <c r="Y32" s="10">
        <f t="shared" si="5"/>
        <v>14000</v>
      </c>
      <c r="Z32" s="10">
        <f t="shared" si="5"/>
        <v>14000</v>
      </c>
      <c r="AA32" s="10">
        <f t="shared" si="5"/>
        <v>14000</v>
      </c>
      <c r="AB32" s="10">
        <f t="shared" si="5"/>
        <v>14000</v>
      </c>
      <c r="AC32" s="10">
        <f>(AB27*0.5)+(AC27*0.5)</f>
        <v>514000</v>
      </c>
      <c r="AD32" s="10">
        <f>(AC27*0.5)+(AD27*0.5)</f>
        <v>507000</v>
      </c>
      <c r="AE32" s="2"/>
      <c r="AF32" s="2"/>
    </row>
    <row r="33" spans="1:32" x14ac:dyDescent="0.25">
      <c r="A33" s="2"/>
      <c r="B33" s="6"/>
      <c r="C33" s="6"/>
      <c r="D33" s="2"/>
      <c r="E33" s="2"/>
      <c r="F33" s="2"/>
      <c r="G33" s="2"/>
      <c r="H33" s="2"/>
      <c r="I33" s="2"/>
      <c r="J33" s="2"/>
      <c r="K33" s="2"/>
      <c r="L33" s="2"/>
      <c r="M33" s="2"/>
      <c r="N33" s="2"/>
      <c r="O33" s="2"/>
      <c r="P33" s="10" t="s">
        <v>3</v>
      </c>
      <c r="Q33" s="10">
        <f>$Q$28*0.5</f>
        <v>-500000</v>
      </c>
      <c r="R33" s="10">
        <f>$Q$28*0.5</f>
        <v>-500000</v>
      </c>
      <c r="S33" s="10"/>
      <c r="T33" s="10"/>
      <c r="U33" s="10"/>
      <c r="V33" s="10"/>
      <c r="W33" s="10"/>
      <c r="X33" s="10"/>
      <c r="Y33" s="10"/>
      <c r="Z33" s="10"/>
      <c r="AA33" s="10"/>
      <c r="AB33" s="10"/>
      <c r="AC33" s="10"/>
      <c r="AD33" s="10"/>
      <c r="AE33" s="2"/>
      <c r="AF33" s="2"/>
    </row>
    <row r="34" spans="1:32" x14ac:dyDescent="0.25">
      <c r="A34" s="2"/>
      <c r="B34" s="27" t="s">
        <v>51</v>
      </c>
      <c r="C34" s="27"/>
      <c r="D34" s="27"/>
      <c r="E34" s="27"/>
      <c r="F34" s="27"/>
      <c r="G34" s="27"/>
      <c r="H34" s="27"/>
      <c r="I34" s="27"/>
      <c r="J34" s="2"/>
      <c r="K34" s="2"/>
      <c r="L34" s="2"/>
      <c r="M34" s="2"/>
      <c r="N34" s="2"/>
      <c r="O34" s="2"/>
      <c r="P34" s="10" t="s">
        <v>15</v>
      </c>
      <c r="Q34" s="10">
        <f>SUM(Q32:Q33)</f>
        <v>-500000</v>
      </c>
      <c r="R34" s="10">
        <f t="shared" ref="R34:AC34" si="6">SUM(R32:R33)</f>
        <v>-493000</v>
      </c>
      <c r="S34" s="10">
        <f t="shared" si="6"/>
        <v>14000</v>
      </c>
      <c r="T34" s="10">
        <f t="shared" si="6"/>
        <v>14000</v>
      </c>
      <c r="U34" s="10">
        <f t="shared" si="6"/>
        <v>14000</v>
      </c>
      <c r="V34" s="10">
        <f t="shared" si="6"/>
        <v>14000</v>
      </c>
      <c r="W34" s="10">
        <f t="shared" si="6"/>
        <v>14000</v>
      </c>
      <c r="X34" s="10">
        <f t="shared" si="6"/>
        <v>14000</v>
      </c>
      <c r="Y34" s="10">
        <f t="shared" si="6"/>
        <v>14000</v>
      </c>
      <c r="Z34" s="10">
        <f t="shared" si="6"/>
        <v>14000</v>
      </c>
      <c r="AA34" s="10">
        <f t="shared" si="6"/>
        <v>14000</v>
      </c>
      <c r="AB34" s="10">
        <f t="shared" si="6"/>
        <v>14000</v>
      </c>
      <c r="AC34" s="10">
        <f t="shared" si="6"/>
        <v>514000</v>
      </c>
      <c r="AD34" s="10">
        <f>SUM(AD32:AD33)</f>
        <v>507000</v>
      </c>
      <c r="AE34" s="2">
        <f>SUM(Q34:AD34)</f>
        <v>168000</v>
      </c>
      <c r="AF34" s="2"/>
    </row>
    <row r="35" spans="1:32" x14ac:dyDescent="0.25">
      <c r="A35" s="2"/>
      <c r="B35" s="53"/>
      <c r="C35" s="53"/>
      <c r="D35" s="53"/>
      <c r="E35" s="53"/>
      <c r="F35" s="53"/>
      <c r="G35" s="53"/>
      <c r="H35" s="53"/>
      <c r="I35" s="53"/>
      <c r="J35" s="2"/>
      <c r="K35" s="2"/>
      <c r="L35" s="2"/>
      <c r="M35" s="2"/>
      <c r="N35" s="2"/>
      <c r="O35" s="2"/>
      <c r="P35" s="13" t="s">
        <v>52</v>
      </c>
      <c r="Q35" s="26">
        <f>IRR(Q34:AD34)</f>
        <v>1.4000000000000234E-2</v>
      </c>
      <c r="R35" s="6"/>
      <c r="S35" s="6"/>
      <c r="T35" s="6"/>
      <c r="U35" s="6"/>
      <c r="V35" s="6"/>
      <c r="W35" s="6"/>
      <c r="X35" s="6"/>
      <c r="Y35" s="6"/>
      <c r="Z35" s="6"/>
      <c r="AA35" s="6"/>
      <c r="AB35" s="6"/>
      <c r="AC35" s="6"/>
      <c r="AD35" s="6"/>
      <c r="AE35" s="2"/>
      <c r="AF35" s="2"/>
    </row>
    <row r="36" spans="1:32" x14ac:dyDescent="0.25">
      <c r="A36" s="2"/>
      <c r="B36" s="53"/>
      <c r="C36" s="53"/>
      <c r="D36" s="53"/>
      <c r="E36" s="53"/>
      <c r="F36" s="53"/>
      <c r="G36" s="53"/>
      <c r="H36" s="53"/>
      <c r="I36" s="53"/>
      <c r="J36" s="2"/>
      <c r="K36" s="2"/>
      <c r="L36" s="2"/>
      <c r="M36" s="2"/>
      <c r="N36" s="2"/>
      <c r="O36" s="2"/>
      <c r="P36" s="13" t="s">
        <v>53</v>
      </c>
      <c r="Q36" s="54">
        <f>((1+Q35)^(12/1))-1</f>
        <v>0.18155912891812576</v>
      </c>
      <c r="R36" s="6"/>
      <c r="S36" s="6"/>
      <c r="T36" s="6"/>
      <c r="U36" s="6"/>
      <c r="V36" s="6"/>
      <c r="W36" s="6"/>
      <c r="X36" s="6"/>
      <c r="Y36" s="6"/>
      <c r="Z36" s="6"/>
      <c r="AA36" s="6"/>
      <c r="AB36" s="6"/>
      <c r="AC36" s="6"/>
      <c r="AD36" s="6"/>
      <c r="AE36" s="2"/>
      <c r="AF36" s="2"/>
    </row>
    <row r="37" spans="1:32" x14ac:dyDescent="0.25">
      <c r="A37" s="2"/>
      <c r="B37" s="2"/>
      <c r="C37" s="2"/>
      <c r="D37" s="2"/>
      <c r="E37" s="2"/>
      <c r="F37" s="2"/>
      <c r="G37" s="2"/>
      <c r="H37" s="2"/>
      <c r="I37" s="2"/>
      <c r="J37" s="2"/>
      <c r="K37" s="2"/>
      <c r="L37" s="2"/>
      <c r="M37" s="2"/>
      <c r="N37" s="2"/>
      <c r="O37" s="2"/>
      <c r="P37" s="13" t="s">
        <v>33</v>
      </c>
      <c r="Q37" s="54">
        <f>((1+Q35)^(18/1))-1</f>
        <v>0.28434940823461874</v>
      </c>
      <c r="R37" s="2"/>
      <c r="S37" s="2"/>
      <c r="T37" s="2"/>
      <c r="U37" s="2"/>
      <c r="V37" s="2"/>
      <c r="W37" s="2"/>
      <c r="X37" s="2"/>
      <c r="Y37" s="2"/>
      <c r="Z37" s="2"/>
      <c r="AA37" s="2"/>
      <c r="AB37" s="2"/>
      <c r="AC37" s="2"/>
      <c r="AD37" s="2"/>
      <c r="AE37" s="2"/>
      <c r="AF37" s="2"/>
    </row>
    <row r="38" spans="1:32" x14ac:dyDescent="0.25">
      <c r="A38" s="1" t="s">
        <v>54</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x14ac:dyDescent="0.25">
      <c r="A39" s="2"/>
      <c r="B39" s="28" t="s">
        <v>55</v>
      </c>
      <c r="C39" s="28"/>
      <c r="D39" s="28"/>
      <c r="E39" s="28"/>
      <c r="F39" s="28"/>
      <c r="G39" s="28"/>
      <c r="H39" s="28"/>
      <c r="I39" s="28"/>
      <c r="J39" s="28"/>
      <c r="K39" s="28"/>
      <c r="L39" s="28"/>
      <c r="M39" s="28"/>
      <c r="N39" s="28"/>
      <c r="O39" s="2"/>
      <c r="P39" s="2"/>
      <c r="Q39" s="2"/>
      <c r="R39" s="2"/>
      <c r="S39" s="2"/>
      <c r="T39" s="2"/>
      <c r="U39" s="2"/>
      <c r="V39" s="2"/>
      <c r="W39" s="2"/>
      <c r="X39" s="2"/>
      <c r="Y39" s="2"/>
      <c r="Z39" s="2"/>
      <c r="AA39" s="2"/>
      <c r="AB39" s="2"/>
      <c r="AC39" s="2"/>
      <c r="AD39" s="2"/>
      <c r="AE39" s="2"/>
      <c r="AF39" s="2"/>
    </row>
    <row r="40" spans="1:32" x14ac:dyDescent="0.25">
      <c r="A40" s="2"/>
      <c r="B40" s="28"/>
      <c r="C40" s="28"/>
      <c r="D40" s="28"/>
      <c r="E40" s="28"/>
      <c r="F40" s="28"/>
      <c r="G40" s="28"/>
      <c r="H40" s="28"/>
      <c r="I40" s="28"/>
      <c r="J40" s="28"/>
      <c r="K40" s="28"/>
      <c r="L40" s="28"/>
      <c r="M40" s="28"/>
      <c r="N40" s="28"/>
      <c r="O40" s="2"/>
      <c r="P40" s="2"/>
      <c r="Q40" s="2"/>
      <c r="R40" s="2"/>
      <c r="S40" s="2"/>
      <c r="T40" s="2"/>
      <c r="U40" s="2"/>
      <c r="V40" s="2"/>
      <c r="W40" s="2"/>
      <c r="X40" s="2"/>
      <c r="Y40" s="2"/>
      <c r="Z40" s="2"/>
      <c r="AA40" s="2"/>
      <c r="AB40" s="2"/>
      <c r="AC40" s="2"/>
      <c r="AD40" s="2"/>
      <c r="AE40" s="2"/>
      <c r="AF40" s="2"/>
    </row>
    <row r="41" spans="1:32" x14ac:dyDescent="0.25">
      <c r="A41" s="2"/>
      <c r="B41" s="28"/>
      <c r="C41" s="28"/>
      <c r="D41" s="28"/>
      <c r="E41" s="28"/>
      <c r="F41" s="28"/>
      <c r="G41" s="28"/>
      <c r="H41" s="28"/>
      <c r="I41" s="28"/>
      <c r="J41" s="28"/>
      <c r="K41" s="28"/>
      <c r="L41" s="28"/>
      <c r="M41" s="28"/>
      <c r="N41" s="28"/>
      <c r="O41" s="2"/>
      <c r="P41" s="2"/>
      <c r="Q41" s="2"/>
      <c r="R41" s="2"/>
      <c r="S41" s="2"/>
      <c r="T41" s="2"/>
      <c r="U41" s="2"/>
      <c r="V41" s="2"/>
      <c r="W41" s="2"/>
      <c r="X41" s="2"/>
      <c r="Y41" s="2"/>
      <c r="Z41" s="2"/>
      <c r="AA41" s="2"/>
      <c r="AB41" s="2"/>
      <c r="AC41" s="2"/>
      <c r="AD41" s="2"/>
      <c r="AE41" s="2"/>
      <c r="AF41" s="2"/>
    </row>
    <row r="42" spans="1:32" x14ac:dyDescent="0.25">
      <c r="A42" s="2"/>
      <c r="B42" s="28"/>
      <c r="C42" s="28"/>
      <c r="D42" s="28"/>
      <c r="E42" s="28"/>
      <c r="F42" s="28"/>
      <c r="G42" s="28"/>
      <c r="H42" s="28"/>
      <c r="I42" s="28"/>
      <c r="J42" s="28"/>
      <c r="K42" s="28"/>
      <c r="L42" s="28"/>
      <c r="M42" s="28"/>
      <c r="N42" s="28"/>
      <c r="O42" s="2"/>
      <c r="P42" s="2"/>
      <c r="Q42" s="2"/>
      <c r="R42" s="2"/>
      <c r="S42" s="2"/>
      <c r="T42" s="2"/>
      <c r="U42" s="2"/>
      <c r="V42" s="2"/>
      <c r="W42" s="2"/>
      <c r="X42" s="2"/>
      <c r="Y42" s="2"/>
      <c r="Z42" s="2"/>
      <c r="AA42" s="2"/>
      <c r="AB42" s="2"/>
      <c r="AC42" s="2"/>
      <c r="AD42" s="2"/>
      <c r="AE42" s="2"/>
      <c r="AF42" s="2"/>
    </row>
    <row r="43" spans="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x14ac:dyDescent="0.25">
      <c r="A44" s="2"/>
      <c r="B44" s="29" t="s">
        <v>13</v>
      </c>
      <c r="C44" s="29"/>
      <c r="D44" s="10">
        <v>3000000</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x14ac:dyDescent="0.25">
      <c r="A45" s="2"/>
      <c r="B45" s="29" t="s">
        <v>56</v>
      </c>
      <c r="C45" s="29"/>
      <c r="D45" s="10">
        <f>$D$44*(2/3)</f>
        <v>2000000</v>
      </c>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x14ac:dyDescent="0.25">
      <c r="A46" s="2"/>
      <c r="B46" s="29" t="s">
        <v>57</v>
      </c>
      <c r="C46" s="29"/>
      <c r="D46" s="10">
        <f>$D$44*(1/3)</f>
        <v>1000000</v>
      </c>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x14ac:dyDescent="0.25">
      <c r="A48" s="2"/>
      <c r="B48" s="29" t="s">
        <v>58</v>
      </c>
      <c r="C48" s="29"/>
      <c r="D48" s="10">
        <v>250000</v>
      </c>
      <c r="E48" s="2"/>
      <c r="F48" s="2"/>
      <c r="G48" s="55" t="s">
        <v>59</v>
      </c>
      <c r="H48" s="55"/>
      <c r="I48" s="55"/>
      <c r="J48" s="2"/>
      <c r="K48" s="2"/>
      <c r="L48" s="2"/>
      <c r="M48" s="2"/>
      <c r="N48" s="2"/>
      <c r="O48" s="2"/>
      <c r="P48" s="2"/>
      <c r="Q48" s="2"/>
      <c r="R48" s="2"/>
      <c r="S48" s="2"/>
      <c r="T48" s="2"/>
      <c r="U48" s="2"/>
      <c r="V48" s="2"/>
      <c r="W48" s="2"/>
      <c r="X48" s="2"/>
      <c r="Y48" s="2"/>
      <c r="Z48" s="2"/>
      <c r="AA48" s="2"/>
      <c r="AB48" s="2"/>
      <c r="AC48" s="2"/>
      <c r="AD48" s="2"/>
      <c r="AE48" s="2"/>
      <c r="AF48" s="2"/>
    </row>
    <row r="49" spans="1:32" x14ac:dyDescent="0.25">
      <c r="A49" s="2"/>
      <c r="B49" s="29" t="s">
        <v>60</v>
      </c>
      <c r="C49" s="29"/>
      <c r="D49" s="10">
        <v>1200000</v>
      </c>
      <c r="E49" s="2"/>
      <c r="F49" s="2"/>
      <c r="G49" s="56" t="s">
        <v>61</v>
      </c>
      <c r="H49" s="56"/>
      <c r="I49" s="56"/>
      <c r="J49" s="2"/>
      <c r="K49" s="2"/>
      <c r="L49" s="2"/>
      <c r="M49" s="2"/>
      <c r="N49" s="2"/>
      <c r="O49" s="2"/>
      <c r="P49" s="2"/>
      <c r="Q49" s="2"/>
      <c r="R49" s="2"/>
      <c r="S49" s="2"/>
      <c r="T49" s="2"/>
      <c r="U49" s="2"/>
      <c r="V49" s="2"/>
      <c r="W49" s="2"/>
      <c r="X49" s="2"/>
      <c r="Y49" s="2"/>
      <c r="Z49" s="2"/>
      <c r="AA49" s="2"/>
      <c r="AB49" s="2"/>
      <c r="AC49" s="2"/>
      <c r="AD49" s="2"/>
      <c r="AE49" s="2"/>
      <c r="AF49" s="2"/>
    </row>
    <row r="50" spans="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x14ac:dyDescent="0.25">
      <c r="A51" s="2"/>
      <c r="B51" s="10"/>
      <c r="C51" s="15">
        <v>1</v>
      </c>
      <c r="D51" s="15">
        <f t="shared" ref="D51:I51" si="7">C51+1</f>
        <v>2</v>
      </c>
      <c r="E51" s="57">
        <f t="shared" si="7"/>
        <v>3</v>
      </c>
      <c r="F51" s="57">
        <f t="shared" si="7"/>
        <v>4</v>
      </c>
      <c r="G51" s="57">
        <f t="shared" si="7"/>
        <v>5</v>
      </c>
      <c r="H51" s="57">
        <f t="shared" si="7"/>
        <v>6</v>
      </c>
      <c r="I51" s="57">
        <f t="shared" si="7"/>
        <v>7</v>
      </c>
      <c r="J51" s="16"/>
      <c r="K51" s="16"/>
      <c r="L51" s="16"/>
      <c r="M51" s="16"/>
      <c r="N51" s="16"/>
      <c r="O51" s="2"/>
      <c r="P51" s="2"/>
      <c r="Q51" s="2"/>
      <c r="R51" s="2"/>
      <c r="S51" s="2"/>
      <c r="T51" s="2"/>
      <c r="U51" s="2"/>
      <c r="V51" s="2"/>
      <c r="W51" s="2"/>
      <c r="X51" s="2"/>
      <c r="Y51" s="2"/>
      <c r="Z51" s="2"/>
      <c r="AA51" s="2"/>
      <c r="AB51" s="2"/>
      <c r="AC51" s="2"/>
      <c r="AD51" s="2"/>
      <c r="AE51" s="2"/>
      <c r="AF51" s="2"/>
    </row>
    <row r="52" spans="1:32" x14ac:dyDescent="0.25">
      <c r="A52" s="31" t="s">
        <v>3</v>
      </c>
      <c r="B52" s="13" t="s">
        <v>13</v>
      </c>
      <c r="C52" s="10">
        <f>-$D$45</f>
        <v>-2000000</v>
      </c>
      <c r="D52" s="10">
        <f>-$D$46</f>
        <v>-1000000</v>
      </c>
      <c r="E52" s="10"/>
      <c r="F52" s="10"/>
      <c r="G52" s="10"/>
      <c r="H52" s="10"/>
      <c r="I52" s="10"/>
      <c r="J52" s="6"/>
      <c r="K52" s="6"/>
      <c r="L52" s="6"/>
      <c r="M52" s="6"/>
      <c r="N52" s="6"/>
      <c r="O52" s="2"/>
      <c r="P52" s="2"/>
      <c r="Q52" s="2"/>
      <c r="R52" s="2"/>
      <c r="S52" s="2"/>
      <c r="T52" s="2"/>
      <c r="U52" s="2"/>
      <c r="V52" s="2"/>
      <c r="W52" s="2"/>
      <c r="X52" s="2"/>
      <c r="Y52" s="2"/>
      <c r="Z52" s="2"/>
      <c r="AA52" s="2"/>
      <c r="AB52" s="2"/>
      <c r="AC52" s="2"/>
      <c r="AD52" s="2"/>
      <c r="AE52" s="2"/>
      <c r="AF52" s="2"/>
    </row>
    <row r="53" spans="1:32" x14ac:dyDescent="0.25">
      <c r="A53" s="31"/>
      <c r="B53" s="13" t="s">
        <v>62</v>
      </c>
      <c r="C53" s="10"/>
      <c r="D53" s="10"/>
      <c r="E53" s="10">
        <f>-$D$48</f>
        <v>-250000</v>
      </c>
      <c r="F53" s="10">
        <f t="shared" ref="F53:I53" si="8">-$D$48</f>
        <v>-250000</v>
      </c>
      <c r="G53" s="10">
        <f t="shared" si="8"/>
        <v>-250000</v>
      </c>
      <c r="H53" s="10">
        <f t="shared" si="8"/>
        <v>-250000</v>
      </c>
      <c r="I53" s="10">
        <f t="shared" si="8"/>
        <v>-250000</v>
      </c>
      <c r="J53" s="6"/>
      <c r="K53" s="6"/>
      <c r="L53" s="6"/>
      <c r="M53" s="6"/>
      <c r="N53" s="6"/>
      <c r="O53" s="2"/>
      <c r="P53" s="2"/>
      <c r="Q53" s="2"/>
      <c r="R53" s="2"/>
      <c r="S53" s="2"/>
      <c r="T53" s="2"/>
      <c r="U53" s="2"/>
      <c r="V53" s="2"/>
      <c r="W53" s="2"/>
      <c r="X53" s="2"/>
      <c r="Y53" s="2"/>
      <c r="Z53" s="2"/>
      <c r="AA53" s="2"/>
      <c r="AB53" s="2"/>
      <c r="AC53" s="2"/>
      <c r="AD53" s="2"/>
      <c r="AE53" s="2"/>
      <c r="AF53" s="2"/>
    </row>
    <row r="54" spans="1:32" x14ac:dyDescent="0.25">
      <c r="A54" s="21" t="s">
        <v>4</v>
      </c>
      <c r="B54" s="10" t="s">
        <v>16</v>
      </c>
      <c r="C54" s="10"/>
      <c r="D54" s="10"/>
      <c r="E54" s="10">
        <f>$D$49</f>
        <v>1200000</v>
      </c>
      <c r="F54" s="10">
        <f t="shared" ref="F54:I54" si="9">$D$49</f>
        <v>1200000</v>
      </c>
      <c r="G54" s="10">
        <f t="shared" si="9"/>
        <v>1200000</v>
      </c>
      <c r="H54" s="10">
        <f t="shared" si="9"/>
        <v>1200000</v>
      </c>
      <c r="I54" s="10">
        <f t="shared" si="9"/>
        <v>1200000</v>
      </c>
      <c r="J54" s="6"/>
      <c r="K54" s="6"/>
      <c r="L54" s="6"/>
      <c r="M54" s="6"/>
      <c r="N54" s="6"/>
      <c r="O54" s="2"/>
      <c r="P54" s="2"/>
      <c r="Q54" s="2"/>
      <c r="R54" s="2"/>
      <c r="S54" s="2"/>
      <c r="T54" s="2"/>
      <c r="U54" s="2"/>
      <c r="V54" s="2"/>
      <c r="W54" s="2"/>
      <c r="X54" s="2"/>
      <c r="Y54" s="2"/>
      <c r="Z54" s="2"/>
      <c r="AA54" s="2"/>
      <c r="AB54" s="2"/>
      <c r="AC54" s="2"/>
      <c r="AD54" s="2"/>
      <c r="AE54" s="2"/>
      <c r="AF54" s="2"/>
    </row>
    <row r="55" spans="1:32" x14ac:dyDescent="0.25">
      <c r="A55" s="17"/>
      <c r="B55" s="10" t="s">
        <v>15</v>
      </c>
      <c r="C55" s="10">
        <f>SUM(C52:C54)</f>
        <v>-2000000</v>
      </c>
      <c r="D55" s="10">
        <f t="shared" ref="D55:I55" si="10">SUM(D52:D54)</f>
        <v>-1000000</v>
      </c>
      <c r="E55" s="10">
        <f t="shared" si="10"/>
        <v>950000</v>
      </c>
      <c r="F55" s="10">
        <f t="shared" si="10"/>
        <v>950000</v>
      </c>
      <c r="G55" s="10">
        <f t="shared" si="10"/>
        <v>950000</v>
      </c>
      <c r="H55" s="10">
        <f t="shared" si="10"/>
        <v>950000</v>
      </c>
      <c r="I55" s="10">
        <f t="shared" si="10"/>
        <v>950000</v>
      </c>
      <c r="J55" s="6">
        <f>SUM(C55:I55)</f>
        <v>1750000</v>
      </c>
      <c r="K55" s="6"/>
      <c r="L55" s="6"/>
      <c r="M55" s="6"/>
      <c r="N55" s="6"/>
      <c r="O55" s="6"/>
      <c r="P55" s="2"/>
      <c r="Q55" s="2"/>
      <c r="R55" s="2"/>
      <c r="S55" s="2"/>
      <c r="T55" s="2"/>
      <c r="U55" s="2"/>
      <c r="V55" s="2"/>
      <c r="W55" s="2"/>
      <c r="X55" s="2"/>
      <c r="Y55" s="2"/>
      <c r="Z55" s="2"/>
      <c r="AA55" s="2"/>
      <c r="AB55" s="2"/>
      <c r="AC55" s="2"/>
      <c r="AD55" s="2"/>
      <c r="AE55" s="2"/>
      <c r="AF55" s="2"/>
    </row>
    <row r="56" spans="1:32" x14ac:dyDescent="0.25">
      <c r="A56" s="9"/>
      <c r="B56" s="9"/>
      <c r="C56" s="6"/>
      <c r="D56" s="6"/>
      <c r="E56" s="6"/>
      <c r="F56" s="6"/>
      <c r="G56" s="6"/>
      <c r="H56" s="6"/>
      <c r="I56" s="6"/>
      <c r="J56" s="6"/>
      <c r="K56" s="6"/>
      <c r="L56" s="6"/>
      <c r="M56" s="6"/>
      <c r="N56" s="2"/>
      <c r="O56" s="2"/>
      <c r="P56" s="2"/>
      <c r="Q56" s="2"/>
      <c r="R56" s="2"/>
      <c r="S56" s="2"/>
      <c r="T56" s="2"/>
      <c r="U56" s="2"/>
      <c r="V56" s="2"/>
      <c r="W56" s="2"/>
      <c r="X56" s="2"/>
      <c r="Y56" s="2"/>
      <c r="Z56" s="2"/>
      <c r="AA56" s="2"/>
      <c r="AB56" s="2"/>
      <c r="AC56" s="2"/>
      <c r="AD56" s="2"/>
      <c r="AE56" s="2"/>
      <c r="AF56" s="2"/>
    </row>
    <row r="57" spans="1:32" x14ac:dyDescent="0.25">
      <c r="A57" s="8"/>
      <c r="B57" s="8" t="s">
        <v>17</v>
      </c>
      <c r="C57" s="12">
        <v>0</v>
      </c>
      <c r="D57" s="12">
        <f t="shared" ref="D57:J57" si="11">C57+1</f>
        <v>1</v>
      </c>
      <c r="E57" s="12">
        <f t="shared" si="11"/>
        <v>2</v>
      </c>
      <c r="F57" s="12">
        <f t="shared" si="11"/>
        <v>3</v>
      </c>
      <c r="G57" s="12">
        <f t="shared" si="11"/>
        <v>4</v>
      </c>
      <c r="H57" s="12">
        <f t="shared" si="11"/>
        <v>5</v>
      </c>
      <c r="I57" s="12">
        <f t="shared" si="11"/>
        <v>6</v>
      </c>
      <c r="J57" s="12">
        <f t="shared" si="11"/>
        <v>7</v>
      </c>
      <c r="K57" s="16"/>
      <c r="L57" s="16"/>
      <c r="M57" s="16"/>
      <c r="N57" s="16"/>
      <c r="O57" s="2"/>
      <c r="P57" s="2"/>
      <c r="Q57" s="2"/>
      <c r="R57" s="2"/>
      <c r="S57" s="2"/>
      <c r="T57" s="2"/>
      <c r="U57" s="2"/>
      <c r="V57" s="2"/>
      <c r="W57" s="2"/>
      <c r="X57" s="2"/>
      <c r="Y57" s="2"/>
      <c r="Z57" s="2"/>
      <c r="AA57" s="2"/>
      <c r="AB57" s="2"/>
      <c r="AC57" s="2"/>
      <c r="AD57" s="2"/>
      <c r="AE57" s="2"/>
      <c r="AF57" s="2"/>
    </row>
    <row r="58" spans="1:32" x14ac:dyDescent="0.25">
      <c r="A58" s="30" t="s">
        <v>18</v>
      </c>
      <c r="B58" s="25" t="s">
        <v>13</v>
      </c>
      <c r="C58" s="10">
        <f>C52*(0.5)</f>
        <v>-1000000</v>
      </c>
      <c r="D58" s="10">
        <f>(C52*0.5)+(D52*0.5)</f>
        <v>-1500000</v>
      </c>
      <c r="E58" s="10">
        <f>(D52*0.5)+(E52*0.5)</f>
        <v>-500000</v>
      </c>
      <c r="F58" s="10"/>
      <c r="G58" s="10"/>
      <c r="H58" s="10"/>
      <c r="I58" s="10"/>
      <c r="J58" s="10"/>
      <c r="K58" s="6"/>
      <c r="L58" s="6"/>
      <c r="M58" s="6"/>
      <c r="N58" s="6"/>
      <c r="O58" s="2"/>
      <c r="P58" s="2"/>
      <c r="Q58" s="2"/>
      <c r="R58" s="2"/>
      <c r="S58" s="2"/>
      <c r="T58" s="2"/>
      <c r="U58" s="2"/>
      <c r="V58" s="2"/>
      <c r="W58" s="2"/>
      <c r="X58" s="2"/>
      <c r="Y58" s="2"/>
      <c r="Z58" s="2"/>
      <c r="AA58" s="2"/>
      <c r="AB58" s="2"/>
      <c r="AC58" s="2"/>
      <c r="AD58" s="2"/>
      <c r="AE58" s="2"/>
      <c r="AF58" s="2"/>
    </row>
    <row r="59" spans="1:32" x14ac:dyDescent="0.25">
      <c r="A59" s="30"/>
      <c r="B59" s="13" t="s">
        <v>62</v>
      </c>
      <c r="C59" s="10"/>
      <c r="D59" s="10"/>
      <c r="E59" s="10">
        <f>(D53*0.5)+(E53*0.5)</f>
        <v>-125000</v>
      </c>
      <c r="F59" s="10">
        <f>(E53*0.5)+(F53*0.5)</f>
        <v>-250000</v>
      </c>
      <c r="G59" s="10">
        <f t="shared" ref="G59:J59" si="12">(F53*0.5)+(G53*0.5)</f>
        <v>-250000</v>
      </c>
      <c r="H59" s="10">
        <f t="shared" si="12"/>
        <v>-250000</v>
      </c>
      <c r="I59" s="10">
        <f t="shared" si="12"/>
        <v>-250000</v>
      </c>
      <c r="J59" s="10">
        <f t="shared" si="12"/>
        <v>-125000</v>
      </c>
      <c r="K59" s="6"/>
      <c r="L59" s="6"/>
      <c r="M59" s="6"/>
      <c r="N59" s="6"/>
      <c r="O59" s="2"/>
      <c r="P59" s="2"/>
      <c r="Q59" s="2"/>
      <c r="R59" s="2"/>
      <c r="S59" s="2"/>
      <c r="T59" s="2"/>
      <c r="U59" s="2"/>
      <c r="V59" s="2"/>
      <c r="W59" s="2"/>
      <c r="X59" s="2"/>
      <c r="Y59" s="2"/>
      <c r="Z59" s="2"/>
      <c r="AA59" s="2"/>
      <c r="AB59" s="2"/>
      <c r="AC59" s="2"/>
      <c r="AD59" s="2"/>
      <c r="AE59" s="2"/>
      <c r="AF59" s="2"/>
    </row>
    <row r="60" spans="1:32" x14ac:dyDescent="0.25">
      <c r="A60" s="22" t="s">
        <v>19</v>
      </c>
      <c r="B60" s="18" t="s">
        <v>16</v>
      </c>
      <c r="C60" s="19"/>
      <c r="D60" s="10"/>
      <c r="E60" s="10">
        <f>(D54*0.5)+(E54*0.5)</f>
        <v>600000</v>
      </c>
      <c r="F60" s="10">
        <f t="shared" ref="F60:I60" si="13">(E54*0.5)+(F54*0.5)</f>
        <v>1200000</v>
      </c>
      <c r="G60" s="10">
        <f t="shared" si="13"/>
        <v>1200000</v>
      </c>
      <c r="H60" s="10">
        <f t="shared" si="13"/>
        <v>1200000</v>
      </c>
      <c r="I60" s="10">
        <f t="shared" si="13"/>
        <v>1200000</v>
      </c>
      <c r="J60" s="10">
        <f>(I54*0.5)+(J54*0.5)</f>
        <v>600000</v>
      </c>
      <c r="K60" s="6"/>
      <c r="L60" s="6"/>
      <c r="M60" s="6"/>
      <c r="N60" s="6"/>
      <c r="O60" s="2"/>
      <c r="P60" s="2"/>
      <c r="Q60" s="2"/>
      <c r="R60" s="2"/>
      <c r="S60" s="2"/>
      <c r="T60" s="2"/>
      <c r="U60" s="2"/>
      <c r="V60" s="2"/>
      <c r="W60" s="2"/>
      <c r="X60" s="2"/>
      <c r="Y60" s="2"/>
      <c r="Z60" s="2"/>
      <c r="AA60" s="2"/>
      <c r="AB60" s="2"/>
      <c r="AC60" s="2"/>
      <c r="AD60" s="2"/>
      <c r="AE60" s="2"/>
      <c r="AF60" s="2"/>
    </row>
    <row r="61" spans="1:32" x14ac:dyDescent="0.25">
      <c r="A61" s="2"/>
      <c r="B61" s="10" t="s">
        <v>14</v>
      </c>
      <c r="C61" s="10">
        <f>SUM(C58:C60)</f>
        <v>-1000000</v>
      </c>
      <c r="D61" s="10">
        <f t="shared" ref="D61:J61" si="14">SUM(D58:D60)</f>
        <v>-1500000</v>
      </c>
      <c r="E61" s="10">
        <f t="shared" si="14"/>
        <v>-25000</v>
      </c>
      <c r="F61" s="10">
        <f t="shared" si="14"/>
        <v>950000</v>
      </c>
      <c r="G61" s="10">
        <f t="shared" si="14"/>
        <v>950000</v>
      </c>
      <c r="H61" s="10">
        <f t="shared" si="14"/>
        <v>950000</v>
      </c>
      <c r="I61" s="10">
        <f t="shared" si="14"/>
        <v>950000</v>
      </c>
      <c r="J61" s="10">
        <f t="shared" si="14"/>
        <v>475000</v>
      </c>
      <c r="K61" s="6">
        <f>SUM(C61:J61)</f>
        <v>1750000</v>
      </c>
      <c r="L61" s="6"/>
      <c r="M61" s="6"/>
      <c r="N61" s="6"/>
      <c r="O61" s="6"/>
      <c r="P61" s="2"/>
      <c r="Q61" s="2"/>
      <c r="R61" s="2"/>
      <c r="S61" s="2"/>
      <c r="T61" s="2"/>
      <c r="U61" s="2"/>
      <c r="V61" s="2"/>
      <c r="W61" s="2"/>
      <c r="X61" s="2"/>
      <c r="Y61" s="2"/>
      <c r="Z61" s="2"/>
      <c r="AA61" s="2"/>
      <c r="AB61" s="2"/>
      <c r="AC61" s="2"/>
      <c r="AD61" s="2"/>
      <c r="AE61" s="2"/>
      <c r="AF61" s="2"/>
    </row>
    <row r="62" spans="1:32" x14ac:dyDescent="0.25">
      <c r="A62" s="2"/>
      <c r="B62" s="6"/>
      <c r="C62" s="6"/>
      <c r="D62" s="6"/>
      <c r="E62" s="6"/>
      <c r="F62" s="6"/>
      <c r="G62" s="6"/>
      <c r="H62" s="6"/>
      <c r="I62" s="6"/>
      <c r="J62" s="6"/>
      <c r="K62" s="6"/>
      <c r="L62" s="6"/>
      <c r="M62" s="6"/>
      <c r="N62" s="6"/>
      <c r="O62" s="6"/>
      <c r="P62" s="2"/>
      <c r="Q62" s="2"/>
      <c r="R62" s="2"/>
      <c r="S62" s="2"/>
      <c r="T62" s="2"/>
      <c r="U62" s="2"/>
      <c r="V62" s="2"/>
      <c r="W62" s="2"/>
      <c r="X62" s="2"/>
      <c r="Y62" s="2"/>
      <c r="Z62" s="2"/>
      <c r="AA62" s="2"/>
      <c r="AB62" s="2"/>
      <c r="AC62" s="2"/>
      <c r="AD62" s="2"/>
      <c r="AE62" s="2"/>
      <c r="AF62" s="2"/>
    </row>
    <row r="63" spans="1:32" x14ac:dyDescent="0.25">
      <c r="A63" s="2"/>
      <c r="B63" s="24" t="s">
        <v>63</v>
      </c>
      <c r="C63" s="20">
        <f>IRR(C61:J61)</f>
        <v>0.13811773695450413</v>
      </c>
      <c r="D63" s="6"/>
      <c r="E63" s="6"/>
      <c r="F63" s="6"/>
      <c r="G63" s="6"/>
      <c r="H63" s="6"/>
      <c r="I63" s="6"/>
      <c r="J63" s="6"/>
      <c r="K63" s="6"/>
      <c r="L63" s="6"/>
      <c r="M63" s="6"/>
      <c r="N63" s="6"/>
      <c r="O63" s="6"/>
      <c r="P63" s="2"/>
      <c r="Q63" s="2"/>
      <c r="R63" s="2"/>
      <c r="S63" s="2"/>
      <c r="T63" s="2"/>
      <c r="U63" s="2"/>
      <c r="V63" s="2"/>
      <c r="W63" s="2"/>
      <c r="X63" s="2"/>
      <c r="Y63" s="2"/>
      <c r="Z63" s="2"/>
      <c r="AA63" s="2"/>
      <c r="AB63" s="2"/>
      <c r="AC63" s="2"/>
      <c r="AD63" s="2"/>
      <c r="AE63" s="2"/>
      <c r="AF63" s="2"/>
    </row>
    <row r="64" spans="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x14ac:dyDescent="0.25">
      <c r="A65" s="2"/>
      <c r="B65" s="10" t="s">
        <v>37</v>
      </c>
      <c r="C65" s="19">
        <v>0.127</v>
      </c>
      <c r="D65" s="10" t="s">
        <v>41</v>
      </c>
      <c r="E65" s="19">
        <v>0.13</v>
      </c>
      <c r="F65" s="58" t="s">
        <v>64</v>
      </c>
      <c r="G65" s="59">
        <v>0.14000000000000001</v>
      </c>
      <c r="H65" s="2"/>
      <c r="I65" s="2"/>
      <c r="J65" s="2"/>
      <c r="K65" s="2"/>
      <c r="L65" s="2"/>
      <c r="M65" s="2"/>
      <c r="N65" s="2"/>
      <c r="O65" s="2"/>
      <c r="P65" s="2"/>
      <c r="Q65" s="2"/>
      <c r="R65" s="2"/>
      <c r="S65" s="2"/>
      <c r="T65" s="2"/>
      <c r="U65" s="2"/>
      <c r="V65" s="2"/>
      <c r="W65" s="2"/>
      <c r="X65" s="2"/>
      <c r="Y65" s="2"/>
      <c r="Z65" s="2"/>
      <c r="AA65" s="2"/>
      <c r="AB65" s="2"/>
      <c r="AC65" s="2"/>
      <c r="AD65" s="2"/>
      <c r="AE65" s="2"/>
      <c r="AF65" s="2"/>
    </row>
    <row r="66" spans="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x14ac:dyDescent="0.25">
      <c r="A67" s="2"/>
      <c r="B67" s="24" t="s">
        <v>7</v>
      </c>
      <c r="C67" s="60">
        <f>NPV(G65,D61:J61)+C61</f>
        <v>-15291.778359015356</v>
      </c>
      <c r="D67" s="2"/>
      <c r="E67" s="61" t="s">
        <v>65</v>
      </c>
      <c r="F67" s="61"/>
      <c r="G67" s="61"/>
      <c r="H67" s="2"/>
      <c r="I67" s="2"/>
      <c r="J67" s="2"/>
      <c r="K67" s="2"/>
      <c r="L67" s="2"/>
      <c r="M67" s="2"/>
      <c r="N67" s="2"/>
      <c r="O67" s="2"/>
      <c r="P67" s="2"/>
      <c r="Q67" s="2"/>
      <c r="R67" s="2"/>
      <c r="S67" s="2"/>
      <c r="T67" s="2"/>
      <c r="U67" s="2"/>
      <c r="V67" s="2"/>
      <c r="W67" s="2"/>
      <c r="X67" s="2"/>
      <c r="Y67" s="2"/>
      <c r="Z67" s="2"/>
      <c r="AA67" s="2"/>
      <c r="AB67" s="2"/>
      <c r="AC67" s="2"/>
      <c r="AD67" s="2"/>
      <c r="AE67" s="2"/>
      <c r="AF67" s="2"/>
    </row>
    <row r="68" spans="1:32" x14ac:dyDescent="0.25">
      <c r="A68" s="2"/>
      <c r="B68" s="61" t="s">
        <v>66</v>
      </c>
      <c r="C68" s="61"/>
      <c r="D68" s="2"/>
      <c r="E68" s="52" t="s">
        <v>67</v>
      </c>
      <c r="F68" s="52"/>
      <c r="G68" s="52"/>
      <c r="H68" s="2"/>
      <c r="I68" s="2"/>
      <c r="J68" s="2"/>
      <c r="K68" s="2"/>
      <c r="L68" s="2"/>
      <c r="M68" s="2"/>
      <c r="N68" s="2"/>
      <c r="O68" s="2"/>
      <c r="P68" s="2"/>
      <c r="Q68" s="2"/>
      <c r="R68" s="2"/>
      <c r="S68" s="2"/>
      <c r="T68" s="2"/>
      <c r="U68" s="2"/>
      <c r="V68" s="2"/>
      <c r="W68" s="2"/>
      <c r="X68" s="2"/>
      <c r="Y68" s="2"/>
      <c r="Z68" s="2"/>
      <c r="AA68" s="2"/>
      <c r="AB68" s="2"/>
      <c r="AC68" s="2"/>
      <c r="AD68" s="2"/>
      <c r="AE68" s="2"/>
      <c r="AF68" s="2"/>
    </row>
    <row r="69" spans="1:32" x14ac:dyDescent="0.25">
      <c r="A69" s="2"/>
      <c r="B69" s="61" t="s">
        <v>68</v>
      </c>
      <c r="C69" s="61"/>
      <c r="D69" s="2"/>
      <c r="E69" s="52"/>
      <c r="F69" s="52"/>
      <c r="G69" s="52"/>
      <c r="H69" s="2"/>
      <c r="I69" s="2"/>
      <c r="J69" s="2"/>
      <c r="K69" s="2"/>
      <c r="L69" s="2"/>
      <c r="M69" s="2"/>
      <c r="N69" s="2"/>
      <c r="O69" s="2"/>
      <c r="P69" s="2"/>
      <c r="Q69" s="2"/>
      <c r="R69" s="2"/>
      <c r="S69" s="2"/>
      <c r="T69" s="2"/>
      <c r="U69" s="2"/>
      <c r="V69" s="2"/>
      <c r="W69" s="2"/>
      <c r="X69" s="2"/>
      <c r="Y69" s="2"/>
      <c r="Z69" s="2"/>
      <c r="AA69" s="2"/>
      <c r="AB69" s="2"/>
      <c r="AC69" s="2"/>
      <c r="AD69" s="2"/>
      <c r="AE69" s="2"/>
      <c r="AF69" s="2"/>
    </row>
    <row r="70" spans="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x14ac:dyDescent="0.25">
      <c r="A71" s="8"/>
      <c r="B71" s="8" t="s">
        <v>69</v>
      </c>
      <c r="C71" s="12">
        <v>0</v>
      </c>
      <c r="D71" s="12">
        <f t="shared" ref="D71:J71" si="15">C71+1</f>
        <v>1</v>
      </c>
      <c r="E71" s="12">
        <f t="shared" si="15"/>
        <v>2</v>
      </c>
      <c r="F71" s="12">
        <f t="shared" si="15"/>
        <v>3</v>
      </c>
      <c r="G71" s="12">
        <f t="shared" si="15"/>
        <v>4</v>
      </c>
      <c r="H71" s="12">
        <f t="shared" si="15"/>
        <v>5</v>
      </c>
      <c r="I71" s="12">
        <f t="shared" si="15"/>
        <v>6</v>
      </c>
      <c r="J71" s="12">
        <f t="shared" si="15"/>
        <v>7</v>
      </c>
      <c r="K71" s="2"/>
      <c r="L71" s="2"/>
      <c r="M71" s="2"/>
      <c r="N71" s="2"/>
      <c r="O71" s="2"/>
      <c r="P71" s="2"/>
      <c r="Q71" s="2"/>
      <c r="R71" s="2"/>
      <c r="S71" s="2"/>
      <c r="T71" s="2"/>
      <c r="U71" s="2"/>
      <c r="V71" s="2"/>
      <c r="W71" s="2"/>
      <c r="X71" s="2"/>
      <c r="Y71" s="2"/>
      <c r="Z71" s="2"/>
      <c r="AA71" s="2"/>
      <c r="AB71" s="2"/>
      <c r="AC71" s="2"/>
      <c r="AD71" s="2"/>
      <c r="AE71" s="2"/>
      <c r="AF71" s="2"/>
    </row>
    <row r="72" spans="1:32" x14ac:dyDescent="0.25">
      <c r="A72" s="30" t="s">
        <v>5</v>
      </c>
      <c r="B72" s="25" t="s">
        <v>13</v>
      </c>
      <c r="C72" s="10">
        <f>C58/(1+$G$65)^C71</f>
        <v>-1000000</v>
      </c>
      <c r="D72" s="10">
        <f t="shared" ref="D72:E72" si="16">D58/(1+$G$65)^D71</f>
        <v>-1315789.4736842103</v>
      </c>
      <c r="E72" s="10">
        <f t="shared" si="16"/>
        <v>-384733.7642351492</v>
      </c>
      <c r="F72" s="10"/>
      <c r="G72" s="10"/>
      <c r="H72" s="10"/>
      <c r="I72" s="10"/>
      <c r="J72" s="10"/>
      <c r="K72" s="2"/>
      <c r="L72" s="2"/>
      <c r="M72" s="2"/>
      <c r="N72" s="2"/>
      <c r="O72" s="2"/>
      <c r="P72" s="2"/>
      <c r="Q72" s="2"/>
      <c r="R72" s="2"/>
      <c r="S72" s="2"/>
      <c r="T72" s="2"/>
      <c r="U72" s="2"/>
      <c r="V72" s="2"/>
      <c r="W72" s="2"/>
      <c r="X72" s="2"/>
      <c r="Y72" s="2"/>
      <c r="Z72" s="2"/>
      <c r="AA72" s="2"/>
      <c r="AB72" s="2"/>
      <c r="AC72" s="2"/>
      <c r="AD72" s="2"/>
      <c r="AE72" s="2"/>
      <c r="AF72" s="2"/>
    </row>
    <row r="73" spans="1:32" x14ac:dyDescent="0.25">
      <c r="A73" s="30"/>
      <c r="B73" s="13" t="s">
        <v>62</v>
      </c>
      <c r="C73" s="10"/>
      <c r="D73" s="10"/>
      <c r="E73" s="10">
        <f>E59/(1+$G$65)^E71</f>
        <v>-96183.441058787299</v>
      </c>
      <c r="F73" s="10">
        <f t="shared" ref="F73:J73" si="17">F59/(1+$G$65)^F71</f>
        <v>-168742.87905050401</v>
      </c>
      <c r="G73" s="10">
        <f t="shared" si="17"/>
        <v>-148020.06934254736</v>
      </c>
      <c r="H73" s="10">
        <f t="shared" si="17"/>
        <v>-129842.16608995381</v>
      </c>
      <c r="I73" s="10">
        <f t="shared" si="17"/>
        <v>-113896.6369210121</v>
      </c>
      <c r="J73" s="10">
        <f t="shared" si="17"/>
        <v>-49954.665316233368</v>
      </c>
      <c r="K73" s="2"/>
      <c r="L73" s="2"/>
      <c r="M73" s="2"/>
      <c r="N73" s="2"/>
      <c r="O73" s="2"/>
      <c r="P73" s="2"/>
      <c r="Q73" s="2"/>
      <c r="R73" s="2"/>
      <c r="S73" s="2"/>
      <c r="T73" s="2"/>
      <c r="U73" s="2"/>
      <c r="V73" s="2"/>
      <c r="W73" s="2"/>
      <c r="X73" s="2"/>
      <c r="Y73" s="2"/>
      <c r="Z73" s="2"/>
      <c r="AA73" s="2"/>
      <c r="AB73" s="2"/>
      <c r="AC73" s="2"/>
      <c r="AD73" s="2"/>
      <c r="AE73" s="2"/>
      <c r="AF73" s="2"/>
    </row>
    <row r="74" spans="1:32" x14ac:dyDescent="0.25">
      <c r="A74" s="22" t="s">
        <v>70</v>
      </c>
      <c r="B74" s="18" t="s">
        <v>16</v>
      </c>
      <c r="C74" s="19"/>
      <c r="D74" s="10"/>
      <c r="E74" s="10">
        <f>E60/(1+$G$65)^E71</f>
        <v>461680.51708217902</v>
      </c>
      <c r="F74" s="10">
        <f t="shared" ref="F74:J74" si="18">F60/(1+$G$65)^F71</f>
        <v>809965.81944241934</v>
      </c>
      <c r="G74" s="10">
        <f t="shared" si="18"/>
        <v>710496.33284422732</v>
      </c>
      <c r="H74" s="10">
        <f t="shared" si="18"/>
        <v>623242.39723177825</v>
      </c>
      <c r="I74" s="10">
        <f t="shared" si="18"/>
        <v>546703.8572208581</v>
      </c>
      <c r="J74" s="10">
        <f t="shared" si="18"/>
        <v>239782.39351792019</v>
      </c>
      <c r="K74" s="2"/>
      <c r="L74" s="2"/>
      <c r="M74" s="2"/>
      <c r="N74" s="2"/>
      <c r="O74" s="2"/>
      <c r="P74" s="2"/>
      <c r="Q74" s="2"/>
      <c r="R74" s="2"/>
      <c r="S74" s="2"/>
      <c r="T74" s="2"/>
      <c r="U74" s="2"/>
      <c r="V74" s="2"/>
      <c r="W74" s="2"/>
      <c r="X74" s="2"/>
      <c r="Y74" s="2"/>
      <c r="Z74" s="2"/>
      <c r="AA74" s="2"/>
      <c r="AB74" s="2"/>
      <c r="AC74" s="2"/>
      <c r="AD74" s="2"/>
      <c r="AE74" s="2"/>
      <c r="AF74" s="2"/>
    </row>
    <row r="75" spans="1:32" x14ac:dyDescent="0.25">
      <c r="A75" s="2"/>
      <c r="B75" s="10" t="s">
        <v>6</v>
      </c>
      <c r="C75" s="10">
        <f>SUM(C72:C74)</f>
        <v>-1000000</v>
      </c>
      <c r="D75" s="10">
        <f t="shared" ref="D75:J75" si="19">SUM(D72:D74)</f>
        <v>-1315789.4736842103</v>
      </c>
      <c r="E75" s="10">
        <f t="shared" si="19"/>
        <v>-19236.688211757457</v>
      </c>
      <c r="F75" s="10">
        <f t="shared" si="19"/>
        <v>641222.94039191538</v>
      </c>
      <c r="G75" s="10">
        <f t="shared" si="19"/>
        <v>562476.26350167999</v>
      </c>
      <c r="H75" s="10">
        <f t="shared" si="19"/>
        <v>493400.23114182445</v>
      </c>
      <c r="I75" s="10">
        <f t="shared" si="19"/>
        <v>432807.22029984603</v>
      </c>
      <c r="J75" s="10">
        <f t="shared" si="19"/>
        <v>189827.72820168681</v>
      </c>
      <c r="K75" s="2"/>
      <c r="L75" s="2"/>
      <c r="M75" s="2"/>
      <c r="N75" s="2"/>
      <c r="O75" s="2"/>
      <c r="P75" s="2"/>
      <c r="Q75" s="2"/>
      <c r="R75" s="2"/>
      <c r="S75" s="2"/>
      <c r="T75" s="2"/>
      <c r="U75" s="2"/>
      <c r="V75" s="2"/>
      <c r="W75" s="2"/>
      <c r="X75" s="2"/>
      <c r="Y75" s="2"/>
      <c r="Z75" s="2"/>
      <c r="AA75" s="2"/>
      <c r="AB75" s="2"/>
      <c r="AC75" s="2"/>
      <c r="AD75" s="2"/>
      <c r="AE75" s="2"/>
      <c r="AF75" s="2"/>
    </row>
    <row r="76" spans="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x14ac:dyDescent="0.25">
      <c r="A77" s="2"/>
      <c r="B77" s="24" t="s">
        <v>7</v>
      </c>
      <c r="C77" s="60">
        <f>SUM(C75:J75)</f>
        <v>-15291.778359015298</v>
      </c>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x14ac:dyDescent="0.25">
      <c r="A78" s="2"/>
      <c r="B78" s="2"/>
      <c r="C78" s="2" t="s">
        <v>71</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sheetData>
  <mergeCells count="42">
    <mergeCell ref="A72:A73"/>
    <mergeCell ref="B49:C49"/>
    <mergeCell ref="G49:I49"/>
    <mergeCell ref="A52:A53"/>
    <mergeCell ref="A58:A59"/>
    <mergeCell ref="E67:G67"/>
    <mergeCell ref="B68:C68"/>
    <mergeCell ref="E68:G69"/>
    <mergeCell ref="B69:C69"/>
    <mergeCell ref="B34:I34"/>
    <mergeCell ref="B39:N42"/>
    <mergeCell ref="B44:C44"/>
    <mergeCell ref="B45:C45"/>
    <mergeCell ref="B46:C46"/>
    <mergeCell ref="B48:C48"/>
    <mergeCell ref="G48:I48"/>
    <mergeCell ref="E31:F31"/>
    <mergeCell ref="K31:L31"/>
    <mergeCell ref="M31:N31"/>
    <mergeCell ref="E32:F32"/>
    <mergeCell ref="K32:L32"/>
    <mergeCell ref="M32:N32"/>
    <mergeCell ref="E27:F27"/>
    <mergeCell ref="I27:J27"/>
    <mergeCell ref="E28:F28"/>
    <mergeCell ref="K29:L29"/>
    <mergeCell ref="M29:N29"/>
    <mergeCell ref="E30:F30"/>
    <mergeCell ref="K30:L30"/>
    <mergeCell ref="M30:N30"/>
    <mergeCell ref="B19:C19"/>
    <mergeCell ref="I19:J19"/>
    <mergeCell ref="K19:L19"/>
    <mergeCell ref="B20:C20"/>
    <mergeCell ref="E26:F26"/>
    <mergeCell ref="I26:J26"/>
    <mergeCell ref="B2:N4"/>
    <mergeCell ref="B6:N9"/>
    <mergeCell ref="B11:N12"/>
    <mergeCell ref="B14:N15"/>
    <mergeCell ref="I18:J18"/>
    <mergeCell ref="K18:L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dcterms:created xsi:type="dcterms:W3CDTF">2021-06-08T04:09:26Z</dcterms:created>
  <dcterms:modified xsi:type="dcterms:W3CDTF">2021-06-08T19:03:24Z</dcterms:modified>
</cp:coreProperties>
</file>