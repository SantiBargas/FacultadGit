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ti\Desktop\"/>
    </mc:Choice>
  </mc:AlternateContent>
  <xr:revisionPtr revIDLastSave="0" documentId="13_ncr:1_{D076DCFA-0F5D-4FF0-93DE-BF2D111DC2EE}" xr6:coauthVersionLast="45" xr6:coauthVersionMax="45" xr10:uidLastSave="{00000000-0000-0000-0000-000000000000}"/>
  <bookViews>
    <workbookView xWindow="-120" yWindow="-120" windowWidth="20730" windowHeight="11160" xr2:uid="{49D99F54-5155-479A-AD71-20D05A27C82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8" i="1" l="1"/>
  <c r="J27" i="1"/>
  <c r="I25" i="1"/>
  <c r="N25" i="1"/>
  <c r="G12" i="1"/>
  <c r="J12" i="1" s="1"/>
  <c r="L12" i="1" s="1"/>
  <c r="G11" i="1"/>
  <c r="L10" i="1"/>
  <c r="J10" i="1"/>
  <c r="G10" i="1"/>
  <c r="K16" i="1"/>
  <c r="L13" i="1"/>
  <c r="L9" i="1"/>
  <c r="L14" i="1"/>
  <c r="L15" i="1"/>
  <c r="J11" i="1"/>
  <c r="L11" i="1" s="1"/>
  <c r="J9" i="1"/>
  <c r="J13" i="1"/>
  <c r="J14" i="1"/>
  <c r="J15" i="1"/>
  <c r="J8" i="1"/>
  <c r="L4" i="1"/>
  <c r="K4" i="1"/>
  <c r="F4" i="1"/>
  <c r="G14" i="1"/>
  <c r="G15" i="1"/>
  <c r="G13" i="1"/>
  <c r="G9" i="1"/>
  <c r="G8" i="1"/>
  <c r="F15" i="1"/>
  <c r="F14" i="1"/>
  <c r="F13" i="1"/>
  <c r="E13" i="1"/>
  <c r="F9" i="1"/>
  <c r="F8" i="1"/>
  <c r="N10" i="1"/>
  <c r="E15" i="1"/>
  <c r="E19" i="1"/>
  <c r="E20" i="1"/>
  <c r="E11" i="1" s="1"/>
  <c r="E12" i="1" s="1"/>
  <c r="G4" i="1"/>
  <c r="J16" i="1" l="1"/>
  <c r="L16" i="1"/>
  <c r="L18" i="1" l="1"/>
  <c r="O21" i="1" s="1"/>
  <c r="N21" i="1" s="1"/>
  <c r="O22" i="1" s="1"/>
  <c r="N22" i="1" s="1"/>
  <c r="O23" i="1" l="1"/>
  <c r="N23" i="1" s="1"/>
</calcChain>
</file>

<file path=xl/sharedStrings.xml><?xml version="1.0" encoding="utf-8"?>
<sst xmlns="http://schemas.openxmlformats.org/spreadsheetml/2006/main" count="39" uniqueCount="37">
  <si>
    <t>VN</t>
  </si>
  <si>
    <t>VA</t>
  </si>
  <si>
    <t>VR</t>
  </si>
  <si>
    <t>VU (DTA)</t>
  </si>
  <si>
    <t>DFP</t>
  </si>
  <si>
    <t>G</t>
  </si>
  <si>
    <t>A</t>
  </si>
  <si>
    <t>COK</t>
  </si>
  <si>
    <t>Duracion obra:</t>
  </si>
  <si>
    <t>meses</t>
  </si>
  <si>
    <t>Alquiler inmuble</t>
  </si>
  <si>
    <t>Pala mecanica</t>
  </si>
  <si>
    <t>Alquiler camion</t>
  </si>
  <si>
    <t>Tanque</t>
  </si>
  <si>
    <t>PVC</t>
  </si>
  <si>
    <t>50/Cuadra</t>
  </si>
  <si>
    <t>Proyecto</t>
  </si>
  <si>
    <t>cuadras</t>
  </si>
  <si>
    <t>Cant. De PVC</t>
  </si>
  <si>
    <t>Adicional por roturas</t>
  </si>
  <si>
    <t>5 operarios</t>
  </si>
  <si>
    <t>IRH</t>
  </si>
  <si>
    <t>IRH dueño</t>
  </si>
  <si>
    <t>Tasa anual</t>
  </si>
  <si>
    <t>Tasa 15 meses</t>
  </si>
  <si>
    <t>Inmovilizacion</t>
  </si>
  <si>
    <t>mes</t>
  </si>
  <si>
    <t>15 meses</t>
  </si>
  <si>
    <t>costo directo</t>
  </si>
  <si>
    <t>Costos Indirectos</t>
  </si>
  <si>
    <t>Utilidad empresaria pretendida</t>
  </si>
  <si>
    <t>Impuestos sobre venta</t>
  </si>
  <si>
    <t>C/ impuestos</t>
  </si>
  <si>
    <t>15 MESES</t>
  </si>
  <si>
    <t>ganancia</t>
  </si>
  <si>
    <t>C/ gastos indirectos</t>
  </si>
  <si>
    <t>C/ utilidad empresarial pretendida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</si>
</sst>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\ #,##0.00"/>
    <numFmt numFmtId="165" formatCode="&quot;$&quot;\ #,##0"/>
    <numFmt numFmtId="166" formatCode="0.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64" fontId="0" fillId="0" borderId="0" xfId="0" applyNumberFormat="1"/>
    <xf numFmtId="9" fontId="0" fillId="0" borderId="0" xfId="1" applyFont="1"/>
    <xf numFmtId="10" fontId="0" fillId="0" borderId="0" xfId="1" applyNumberFormat="1" applyFont="1"/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64" fontId="0" fillId="0" borderId="0" xfId="0" applyNumberFormat="1" applyBorder="1" applyAlignment="1">
      <alignment horizont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9" fontId="0" fillId="0" borderId="1" xfId="0" applyNumberFormat="1" applyBorder="1" applyAlignment="1">
      <alignment horizontal="center"/>
    </xf>
    <xf numFmtId="165" fontId="0" fillId="3" borderId="1" xfId="0" applyNumberFormat="1" applyFill="1" applyBorder="1"/>
    <xf numFmtId="165" fontId="0" fillId="4" borderId="1" xfId="0" applyNumberFormat="1" applyFill="1" applyBorder="1"/>
    <xf numFmtId="165" fontId="0" fillId="0" borderId="1" xfId="0" applyNumberFormat="1" applyBorder="1" applyAlignment="1">
      <alignment horizontal="center"/>
    </xf>
    <xf numFmtId="166" fontId="0" fillId="0" borderId="0" xfId="0" applyNumberFormat="1"/>
    <xf numFmtId="0" fontId="3" fillId="0" borderId="1" xfId="0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044AD-8B10-4624-AA4F-E0EF21154E18}">
  <dimension ref="D1:O27"/>
  <sheetViews>
    <sheetView tabSelected="1" topLeftCell="C13" workbookViewId="0">
      <selection activeCell="K29" sqref="K29"/>
    </sheetView>
  </sheetViews>
  <sheetFormatPr baseColWidth="10" defaultRowHeight="15" x14ac:dyDescent="0.25"/>
  <cols>
    <col min="4" max="4" width="20.42578125" customWidth="1"/>
    <col min="5" max="7" width="13.140625" bestFit="1" customWidth="1"/>
    <col min="8" max="8" width="14.85546875" customWidth="1"/>
    <col min="10" max="10" width="14.140625" bestFit="1" customWidth="1"/>
    <col min="11" max="11" width="13.42578125" customWidth="1"/>
    <col min="12" max="12" width="14.140625" bestFit="1" customWidth="1"/>
    <col min="14" max="14" width="15.140625" bestFit="1" customWidth="1"/>
    <col min="15" max="15" width="13.140625" bestFit="1" customWidth="1"/>
  </cols>
  <sheetData>
    <row r="1" spans="4:15" x14ac:dyDescent="0.25">
      <c r="D1" t="s">
        <v>8</v>
      </c>
      <c r="E1">
        <v>15</v>
      </c>
      <c r="F1" t="s">
        <v>9</v>
      </c>
    </row>
    <row r="3" spans="4:15" x14ac:dyDescent="0.25">
      <c r="D3" s="1"/>
      <c r="E3" s="1" t="s">
        <v>0</v>
      </c>
      <c r="F3" s="1" t="s">
        <v>1</v>
      </c>
      <c r="G3" s="1" t="s">
        <v>2</v>
      </c>
      <c r="H3" s="1" t="s">
        <v>3</v>
      </c>
      <c r="I3" s="1" t="s">
        <v>4</v>
      </c>
      <c r="J3" s="2" t="s">
        <v>5</v>
      </c>
      <c r="K3" s="2" t="s">
        <v>6</v>
      </c>
      <c r="L3" s="2" t="s">
        <v>7</v>
      </c>
    </row>
    <row r="4" spans="4:15" x14ac:dyDescent="0.25">
      <c r="D4" s="8" t="s">
        <v>11</v>
      </c>
      <c r="E4" s="14">
        <v>300000</v>
      </c>
      <c r="F4" s="6">
        <f>((E4-G4)*(I4/H4))+G4</f>
        <v>219000</v>
      </c>
      <c r="G4" s="14">
        <f>0.1*E4</f>
        <v>30000</v>
      </c>
      <c r="H4" s="15">
        <v>10</v>
      </c>
      <c r="I4" s="15">
        <v>7</v>
      </c>
      <c r="J4" s="8"/>
      <c r="K4" s="9">
        <f>((E4-G4)/H4)*(15/12)</f>
        <v>33750</v>
      </c>
      <c r="L4" s="9">
        <f>F4*$N$10</f>
        <v>82125</v>
      </c>
    </row>
    <row r="5" spans="4:15" x14ac:dyDescent="0.25">
      <c r="D5" s="8"/>
      <c r="E5" s="14"/>
      <c r="F5" s="6"/>
      <c r="G5" s="14"/>
      <c r="H5" s="15"/>
      <c r="I5" s="15"/>
      <c r="J5" s="8"/>
      <c r="K5" s="9"/>
      <c r="L5" s="9"/>
    </row>
    <row r="6" spans="4:15" x14ac:dyDescent="0.25">
      <c r="D6" s="8"/>
      <c r="E6" s="6"/>
      <c r="F6" s="6"/>
      <c r="G6" s="6"/>
      <c r="H6" s="7"/>
      <c r="I6" s="7"/>
      <c r="J6" s="8"/>
      <c r="K6" s="8"/>
      <c r="L6" s="8"/>
      <c r="N6" t="s">
        <v>23</v>
      </c>
    </row>
    <row r="7" spans="4:15" x14ac:dyDescent="0.25">
      <c r="D7" s="8"/>
      <c r="E7" s="6"/>
      <c r="F7" s="6" t="s">
        <v>26</v>
      </c>
      <c r="G7" s="6" t="s">
        <v>27</v>
      </c>
      <c r="H7" s="7"/>
      <c r="I7" s="7"/>
      <c r="J7" s="8"/>
      <c r="K7" s="8"/>
      <c r="L7" s="8"/>
      <c r="N7" s="4">
        <v>0.3</v>
      </c>
    </row>
    <row r="8" spans="4:15" x14ac:dyDescent="0.25">
      <c r="D8" s="8" t="s">
        <v>10</v>
      </c>
      <c r="E8" s="14">
        <v>45000</v>
      </c>
      <c r="F8" s="6">
        <f>E8</f>
        <v>45000</v>
      </c>
      <c r="G8" s="6">
        <f>F8*15</f>
        <v>675000</v>
      </c>
      <c r="H8" s="7"/>
      <c r="I8" s="7"/>
      <c r="J8" s="9">
        <f>G8</f>
        <v>675000</v>
      </c>
      <c r="K8" s="8"/>
      <c r="L8" s="9">
        <f>J8*$N$10*(3/15)</f>
        <v>50625</v>
      </c>
    </row>
    <row r="9" spans="4:15" x14ac:dyDescent="0.25">
      <c r="D9" s="8" t="s">
        <v>12</v>
      </c>
      <c r="E9" s="14">
        <v>50000</v>
      </c>
      <c r="F9" s="6">
        <f>E9</f>
        <v>50000</v>
      </c>
      <c r="G9" s="6">
        <f>F9*15</f>
        <v>750000</v>
      </c>
      <c r="H9" s="7"/>
      <c r="I9" s="7"/>
      <c r="J9" s="9">
        <f t="shared" ref="J9:J15" si="0">G9</f>
        <v>750000</v>
      </c>
      <c r="K9" s="8"/>
      <c r="L9" s="9">
        <f t="shared" ref="L9:L15" si="1">J9*$N$10*(3/15)</f>
        <v>56250</v>
      </c>
      <c r="N9" t="s">
        <v>24</v>
      </c>
    </row>
    <row r="10" spans="4:15" x14ac:dyDescent="0.25">
      <c r="D10" s="8" t="s">
        <v>13</v>
      </c>
      <c r="E10" s="14">
        <v>1000000</v>
      </c>
      <c r="F10" s="6"/>
      <c r="G10" s="6">
        <f>E10</f>
        <v>1000000</v>
      </c>
      <c r="H10" s="7"/>
      <c r="I10" s="7"/>
      <c r="J10" s="9">
        <f t="shared" si="0"/>
        <v>1000000</v>
      </c>
      <c r="K10" s="8"/>
      <c r="L10" s="9">
        <f t="shared" si="1"/>
        <v>75000</v>
      </c>
      <c r="N10" s="5">
        <f>N7*(15/12)</f>
        <v>0.375</v>
      </c>
    </row>
    <row r="11" spans="4:15" x14ac:dyDescent="0.25">
      <c r="D11" s="8" t="s">
        <v>14</v>
      </c>
      <c r="E11" s="14">
        <f>E20</f>
        <v>1000000</v>
      </c>
      <c r="F11" s="6"/>
      <c r="G11" s="6">
        <f>E11</f>
        <v>1000000</v>
      </c>
      <c r="H11" s="7"/>
      <c r="I11" s="7"/>
      <c r="J11" s="9">
        <f>G11</f>
        <v>1000000</v>
      </c>
      <c r="K11" s="8"/>
      <c r="L11" s="9">
        <f t="shared" si="1"/>
        <v>75000</v>
      </c>
    </row>
    <row r="12" spans="4:15" x14ac:dyDescent="0.25">
      <c r="D12" s="8" t="s">
        <v>19</v>
      </c>
      <c r="E12" s="14">
        <f>E11*0.02</f>
        <v>20000</v>
      </c>
      <c r="F12" s="6"/>
      <c r="G12" s="6">
        <f>E12</f>
        <v>20000</v>
      </c>
      <c r="H12" s="7"/>
      <c r="I12" s="7"/>
      <c r="J12" s="9">
        <f t="shared" si="0"/>
        <v>20000</v>
      </c>
      <c r="K12" s="8"/>
      <c r="L12" s="9">
        <f t="shared" si="1"/>
        <v>1500</v>
      </c>
    </row>
    <row r="13" spans="4:15" x14ac:dyDescent="0.25">
      <c r="D13" s="8" t="s">
        <v>20</v>
      </c>
      <c r="E13" s="14">
        <f>80000*5</f>
        <v>400000</v>
      </c>
      <c r="F13" s="6">
        <f>E13</f>
        <v>400000</v>
      </c>
      <c r="G13" s="6">
        <f>F13*15</f>
        <v>6000000</v>
      </c>
      <c r="H13" s="7"/>
      <c r="I13" s="7"/>
      <c r="J13" s="9">
        <f t="shared" si="0"/>
        <v>6000000</v>
      </c>
      <c r="K13" s="8"/>
      <c r="L13" s="9">
        <f>J13*$N$10*(3/15)</f>
        <v>450000</v>
      </c>
      <c r="N13" t="s">
        <v>25</v>
      </c>
    </row>
    <row r="14" spans="4:15" x14ac:dyDescent="0.25">
      <c r="D14" s="8" t="s">
        <v>21</v>
      </c>
      <c r="E14" s="14">
        <v>150000</v>
      </c>
      <c r="F14" s="6">
        <f>E14</f>
        <v>150000</v>
      </c>
      <c r="G14" s="6">
        <f t="shared" ref="G14:G15" si="2">F14*15</f>
        <v>2250000</v>
      </c>
      <c r="H14" s="7"/>
      <c r="I14" s="7"/>
      <c r="J14" s="9">
        <f t="shared" si="0"/>
        <v>2250000</v>
      </c>
      <c r="K14" s="8"/>
      <c r="L14" s="9">
        <f t="shared" si="1"/>
        <v>168750</v>
      </c>
      <c r="N14">
        <v>3</v>
      </c>
      <c r="O14" t="s">
        <v>9</v>
      </c>
    </row>
    <row r="15" spans="4:15" x14ac:dyDescent="0.25">
      <c r="D15" s="8" t="s">
        <v>22</v>
      </c>
      <c r="E15" s="14">
        <f>150000</f>
        <v>150000</v>
      </c>
      <c r="F15" s="6">
        <f>E15</f>
        <v>150000</v>
      </c>
      <c r="G15" s="6">
        <f t="shared" si="2"/>
        <v>2250000</v>
      </c>
      <c r="H15" s="7"/>
      <c r="I15" s="7"/>
      <c r="J15" s="9">
        <f t="shared" si="0"/>
        <v>2250000</v>
      </c>
      <c r="K15" s="8"/>
      <c r="L15" s="9">
        <f t="shared" si="1"/>
        <v>168750</v>
      </c>
    </row>
    <row r="16" spans="4:15" x14ac:dyDescent="0.25">
      <c r="D16" s="10"/>
      <c r="E16" s="11"/>
      <c r="F16" s="11"/>
      <c r="G16" s="11"/>
      <c r="H16" s="12"/>
      <c r="I16" s="12"/>
      <c r="J16" s="13">
        <f>SUM(J4:J15)</f>
        <v>13945000</v>
      </c>
      <c r="K16" s="13">
        <f>SUM(K4:K15)</f>
        <v>33750</v>
      </c>
      <c r="L16" s="13">
        <f>SUM(L4:L15)</f>
        <v>1128000</v>
      </c>
    </row>
    <row r="17" spans="4:15" x14ac:dyDescent="0.25">
      <c r="D17" s="10" t="s">
        <v>16</v>
      </c>
      <c r="E17" s="10">
        <v>20</v>
      </c>
      <c r="F17" s="10" t="s">
        <v>17</v>
      </c>
      <c r="G17" s="10"/>
      <c r="H17" s="10"/>
      <c r="I17" s="10"/>
      <c r="J17" s="10"/>
      <c r="K17" s="10"/>
      <c r="L17" s="10"/>
    </row>
    <row r="18" spans="4:15" x14ac:dyDescent="0.25">
      <c r="D18" s="10" t="s">
        <v>14</v>
      </c>
      <c r="E18" s="10" t="s">
        <v>15</v>
      </c>
      <c r="F18" s="10"/>
      <c r="G18" s="10"/>
      <c r="H18" s="10"/>
      <c r="I18" s="10"/>
      <c r="J18" s="10"/>
      <c r="K18" s="10" t="s">
        <v>28</v>
      </c>
      <c r="L18" s="13">
        <f>SUM(J16:L16)</f>
        <v>15106750</v>
      </c>
      <c r="M18" t="s">
        <v>33</v>
      </c>
    </row>
    <row r="19" spans="4:15" x14ac:dyDescent="0.25">
      <c r="D19" s="10" t="s">
        <v>18</v>
      </c>
      <c r="E19" s="10">
        <f>50*20</f>
        <v>1000</v>
      </c>
      <c r="F19" s="10"/>
      <c r="G19" s="10"/>
      <c r="H19" s="10"/>
      <c r="I19" s="10"/>
      <c r="J19" s="10"/>
      <c r="K19" s="10"/>
      <c r="L19" s="10"/>
    </row>
    <row r="20" spans="4:15" x14ac:dyDescent="0.25">
      <c r="D20" s="10"/>
      <c r="E20" s="13">
        <f>E19*1000</f>
        <v>1000000</v>
      </c>
      <c r="F20" s="10"/>
      <c r="G20" s="10"/>
      <c r="H20" s="10"/>
      <c r="I20" s="10"/>
      <c r="J20" s="10"/>
      <c r="K20" s="10"/>
      <c r="L20" s="10"/>
    </row>
    <row r="21" spans="4:15" x14ac:dyDescent="0.25">
      <c r="G21" s="21" t="s">
        <v>29</v>
      </c>
      <c r="H21" s="21"/>
      <c r="I21" s="16">
        <v>0.15</v>
      </c>
      <c r="K21" s="22" t="s">
        <v>35</v>
      </c>
      <c r="L21" s="22"/>
      <c r="M21" s="22"/>
      <c r="N21" s="17">
        <f>L18+O21</f>
        <v>17372762.5</v>
      </c>
      <c r="O21" s="3">
        <f>L18*I21</f>
        <v>2266012.5</v>
      </c>
    </row>
    <row r="22" spans="4:15" x14ac:dyDescent="0.25">
      <c r="G22" s="21" t="s">
        <v>30</v>
      </c>
      <c r="H22" s="21"/>
      <c r="I22" s="16">
        <v>0.2</v>
      </c>
      <c r="K22" s="22" t="s">
        <v>36</v>
      </c>
      <c r="L22" s="22"/>
      <c r="M22" s="22"/>
      <c r="N22" s="17">
        <f>N21+O22</f>
        <v>20847315</v>
      </c>
      <c r="O22" s="3">
        <f>N21*I22</f>
        <v>3474552.5</v>
      </c>
    </row>
    <row r="23" spans="4:15" x14ac:dyDescent="0.25">
      <c r="G23" s="21" t="s">
        <v>31</v>
      </c>
      <c r="H23" s="21"/>
      <c r="I23" s="16">
        <v>0.25</v>
      </c>
      <c r="K23" s="23" t="s">
        <v>32</v>
      </c>
      <c r="L23" s="23"/>
      <c r="M23" s="23"/>
      <c r="N23" s="18">
        <f>N22+O23</f>
        <v>26059143.75</v>
      </c>
      <c r="O23" s="3">
        <f>N22*I23</f>
        <v>5211828.75</v>
      </c>
    </row>
    <row r="25" spans="4:15" x14ac:dyDescent="0.25">
      <c r="I25" s="20">
        <f>(1+I21)*(1+I22)*(1+I23)</f>
        <v>1.7249999999999999</v>
      </c>
      <c r="L25" s="24" t="s">
        <v>34</v>
      </c>
      <c r="M25" s="24"/>
      <c r="N25" s="19">
        <f>N22-N21</f>
        <v>3474552.5</v>
      </c>
    </row>
    <row r="27" spans="4:15" x14ac:dyDescent="0.25">
      <c r="J27" s="3">
        <f>L18*I25</f>
        <v>26059143.749999996</v>
      </c>
    </row>
  </sheetData>
  <mergeCells count="7">
    <mergeCell ref="L25:M25"/>
    <mergeCell ref="G22:H22"/>
    <mergeCell ref="G23:H23"/>
    <mergeCell ref="G21:H21"/>
    <mergeCell ref="K21:M21"/>
    <mergeCell ref="K22:M22"/>
    <mergeCell ref="K23:M2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Bargas</dc:creator>
  <cp:lastModifiedBy>Santiago Bargas</cp:lastModifiedBy>
  <dcterms:created xsi:type="dcterms:W3CDTF">2021-06-29T21:04:42Z</dcterms:created>
  <dcterms:modified xsi:type="dcterms:W3CDTF">2021-06-29T22:29:03Z</dcterms:modified>
</cp:coreProperties>
</file>