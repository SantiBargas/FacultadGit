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santi\Desktop\4 AÑO IARA\Economia y costos\"/>
    </mc:Choice>
  </mc:AlternateContent>
  <xr:revisionPtr revIDLastSave="0" documentId="13_ncr:1_{68902706-7116-4AF2-88C1-3003E1FB93A9}" xr6:coauthVersionLast="45" xr6:coauthVersionMax="45" xr10:uidLastSave="{00000000-0000-0000-0000-000000000000}"/>
  <bookViews>
    <workbookView xWindow="0" yWindow="60" windowWidth="20445" windowHeight="10860" activeTab="8" xr2:uid="{D14A8A72-8103-4FB1-964A-42BB68DC9F00}"/>
  </bookViews>
  <sheets>
    <sheet name="1-7" sheetId="1" r:id="rId1"/>
    <sheet name="8" sheetId="3" r:id="rId2"/>
    <sheet name="9" sheetId="4" r:id="rId3"/>
    <sheet name="10" sheetId="5" r:id="rId4"/>
    <sheet name="11" sheetId="6" r:id="rId5"/>
    <sheet name="12" sheetId="7" r:id="rId6"/>
    <sheet name="13" sheetId="8" r:id="rId7"/>
    <sheet name="14" sheetId="9" r:id="rId8"/>
    <sheet name="15" sheetId="10" r:id="rId9"/>
    <sheet name="16 3meses" sheetId="11" r:id="rId10"/>
    <sheet name="16 1 año" sheetId="12" r:id="rId11"/>
    <sheet name="Hoja1" sheetId="2"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L31" i="10" l="1"/>
  <c r="L24" i="10"/>
  <c r="K10" i="12" l="1"/>
  <c r="L18" i="11"/>
  <c r="G15" i="3" l="1"/>
  <c r="G16" i="4"/>
  <c r="K48" i="10" l="1"/>
  <c r="K46" i="10"/>
  <c r="E33" i="7" l="1"/>
  <c r="K21" i="12" l="1"/>
  <c r="K22" i="12"/>
  <c r="A46" i="11" l="1"/>
  <c r="A43" i="11"/>
  <c r="A40" i="11"/>
  <c r="A37" i="11"/>
  <c r="A34" i="11"/>
  <c r="A31" i="11"/>
  <c r="A28" i="11"/>
  <c r="A25" i="11"/>
  <c r="L28" i="10"/>
  <c r="K17" i="12"/>
  <c r="L17" i="12"/>
  <c r="K8" i="12"/>
  <c r="J26" i="8"/>
  <c r="K9" i="12"/>
  <c r="K11" i="12"/>
  <c r="K12" i="12"/>
  <c r="E12" i="12"/>
  <c r="G12" i="12"/>
  <c r="I12" i="12"/>
  <c r="G11" i="12"/>
  <c r="G10" i="12"/>
  <c r="G9" i="12"/>
  <c r="G8" i="12"/>
  <c r="I9" i="12"/>
  <c r="I10" i="12"/>
  <c r="I11" i="12"/>
  <c r="I8" i="12"/>
  <c r="K5" i="12"/>
  <c r="K4" i="12"/>
  <c r="K3" i="12"/>
  <c r="J5" i="12"/>
  <c r="J4" i="12"/>
  <c r="J3" i="12"/>
  <c r="E3" i="12"/>
  <c r="F12" i="12"/>
  <c r="F11" i="12"/>
  <c r="F10" i="12"/>
  <c r="E9" i="12"/>
  <c r="F9" i="12" s="1"/>
  <c r="F8" i="12"/>
  <c r="E8" i="12"/>
  <c r="D5" i="12"/>
  <c r="F5" i="12" s="1"/>
  <c r="F4" i="12"/>
  <c r="E4" i="12" s="1"/>
  <c r="F3" i="12"/>
  <c r="L32" i="11"/>
  <c r="L31" i="11"/>
  <c r="L29" i="11"/>
  <c r="M29" i="11"/>
  <c r="L28" i="11"/>
  <c r="M28" i="11"/>
  <c r="L27" i="11"/>
  <c r="M27" i="11"/>
  <c r="K14" i="11"/>
  <c r="K15" i="11"/>
  <c r="K13" i="11"/>
  <c r="H22" i="11"/>
  <c r="G22" i="11"/>
  <c r="J22" i="11"/>
  <c r="L22" i="11" s="1"/>
  <c r="L23" i="11" s="1"/>
  <c r="J23" i="11"/>
  <c r="F22" i="11"/>
  <c r="G19" i="11"/>
  <c r="F19" i="11"/>
  <c r="F18" i="11"/>
  <c r="L20" i="11"/>
  <c r="L21" i="11"/>
  <c r="J19" i="11"/>
  <c r="L19" i="11" s="1"/>
  <c r="J20" i="11"/>
  <c r="J21" i="11"/>
  <c r="E15" i="11"/>
  <c r="O14" i="11"/>
  <c r="H21" i="11"/>
  <c r="G21" i="11"/>
  <c r="H20" i="11"/>
  <c r="G20" i="11"/>
  <c r="G15" i="11"/>
  <c r="H19" i="11"/>
  <c r="G14" i="11"/>
  <c r="F14" i="11" s="1"/>
  <c r="G13" i="11"/>
  <c r="F13" i="11" s="1"/>
  <c r="H18" i="11"/>
  <c r="G18" i="11"/>
  <c r="J18" i="11" s="1"/>
  <c r="E5" i="12" l="1"/>
  <c r="K23" i="11"/>
  <c r="L25" i="11" s="1"/>
  <c r="L14" i="11"/>
  <c r="L13" i="11"/>
  <c r="F15" i="11"/>
  <c r="L15" i="11"/>
  <c r="J13" i="12" l="1"/>
  <c r="K13" i="12"/>
  <c r="I13" i="12"/>
  <c r="K14" i="12" l="1"/>
  <c r="K15" i="12" s="1"/>
  <c r="L18" i="12" l="1"/>
  <c r="K18" i="12" s="1"/>
  <c r="L19" i="12" s="1"/>
  <c r="K19" i="12" l="1"/>
  <c r="L38" i="10" l="1"/>
  <c r="F31" i="10"/>
  <c r="A70" i="10"/>
  <c r="A73" i="10"/>
  <c r="A67" i="10"/>
  <c r="A64" i="10"/>
  <c r="A61" i="10"/>
  <c r="A58" i="10"/>
  <c r="A55" i="10"/>
  <c r="A52" i="10"/>
  <c r="A49" i="10"/>
  <c r="A46" i="10"/>
  <c r="A43" i="10"/>
  <c r="E39" i="10"/>
  <c r="E38" i="10"/>
  <c r="F39" i="9" l="1"/>
  <c r="F38" i="10"/>
  <c r="G38" i="10" s="1"/>
  <c r="H38" i="10" s="1"/>
  <c r="J38" i="10" s="1"/>
  <c r="G26" i="10"/>
  <c r="G28" i="10"/>
  <c r="G27" i="10"/>
  <c r="G25" i="10"/>
  <c r="K29" i="9"/>
  <c r="M53" i="9"/>
  <c r="N53" i="9"/>
  <c r="M52" i="9"/>
  <c r="N52" i="9"/>
  <c r="M51" i="9"/>
  <c r="N51" i="9"/>
  <c r="K49" i="9"/>
  <c r="K48" i="9"/>
  <c r="K46" i="9"/>
  <c r="K45" i="9"/>
  <c r="K53" i="9"/>
  <c r="L53" i="9"/>
  <c r="K52" i="9"/>
  <c r="L52" i="9"/>
  <c r="K51" i="9"/>
  <c r="L51" i="9"/>
  <c r="D40" i="9"/>
  <c r="H40" i="9" s="1"/>
  <c r="I40" i="9" s="1"/>
  <c r="K40" i="9" s="1"/>
  <c r="E39" i="9"/>
  <c r="F36" i="9"/>
  <c r="I36" i="9" s="1"/>
  <c r="K36" i="9" s="1"/>
  <c r="E35" i="9"/>
  <c r="F35" i="9" s="1"/>
  <c r="I35" i="9" s="1"/>
  <c r="K35" i="9" s="1"/>
  <c r="F33" i="9"/>
  <c r="I33" i="9" s="1"/>
  <c r="K33" i="9" s="1"/>
  <c r="F29" i="9"/>
  <c r="E29" i="9" s="1"/>
  <c r="G39" i="9" l="1"/>
  <c r="H39" i="9" s="1"/>
  <c r="I39" i="9" s="1"/>
  <c r="K39" i="9" s="1"/>
  <c r="J29" i="9" l="1"/>
  <c r="N40" i="9"/>
  <c r="O36" i="9" s="1"/>
  <c r="P36" i="9" s="1"/>
  <c r="F51" i="9"/>
  <c r="K28" i="9"/>
  <c r="D43" i="9"/>
  <c r="F30" i="9"/>
  <c r="E30" i="9" l="1"/>
  <c r="K30" i="9" s="1"/>
  <c r="N33" i="9"/>
  <c r="M33" i="9" s="1"/>
  <c r="O29" i="9" s="1"/>
  <c r="P29" i="9" s="1"/>
  <c r="N36" i="10"/>
  <c r="F48" i="10"/>
  <c r="F27" i="10"/>
  <c r="F26" i="10"/>
  <c r="K24" i="10"/>
  <c r="J20" i="7"/>
  <c r="J21" i="7"/>
  <c r="J22" i="7"/>
  <c r="J23" i="7"/>
  <c r="J24" i="7"/>
  <c r="Q25" i="10"/>
  <c r="Q26" i="10" s="1"/>
  <c r="H25" i="10" s="1"/>
  <c r="I21" i="8"/>
  <c r="J22" i="8"/>
  <c r="J21" i="8"/>
  <c r="P30" i="10"/>
  <c r="N34" i="10"/>
  <c r="O36" i="10" s="1"/>
  <c r="G36" i="10"/>
  <c r="J36" i="10" s="1"/>
  <c r="L36" i="10" s="1"/>
  <c r="F35" i="10"/>
  <c r="G35" i="10" s="1"/>
  <c r="J35" i="10" s="1"/>
  <c r="L35" i="10" s="1"/>
  <c r="I28" i="10"/>
  <c r="F28" i="10" s="1"/>
  <c r="F34" i="10"/>
  <c r="G34" i="10" s="1"/>
  <c r="J34" i="10" s="1"/>
  <c r="L34" i="10" s="1"/>
  <c r="F33" i="10"/>
  <c r="G33" i="10" s="1"/>
  <c r="J33" i="10" s="1"/>
  <c r="L33" i="10" s="1"/>
  <c r="F32" i="10"/>
  <c r="G32" i="10" s="1"/>
  <c r="J32" i="10" s="1"/>
  <c r="L32" i="10" s="1"/>
  <c r="J34" i="8"/>
  <c r="D26" i="8"/>
  <c r="C26" i="8"/>
  <c r="M30" i="8"/>
  <c r="M26" i="8"/>
  <c r="M28" i="8" s="1"/>
  <c r="M29" i="8" s="1"/>
  <c r="L22" i="8"/>
  <c r="J41" i="7"/>
  <c r="I32" i="8"/>
  <c r="J27" i="8"/>
  <c r="J28" i="8"/>
  <c r="J29" i="8"/>
  <c r="J30" i="8"/>
  <c r="J29" i="7"/>
  <c r="J28" i="7"/>
  <c r="E30" i="8"/>
  <c r="H30" i="8" s="1"/>
  <c r="E29" i="8"/>
  <c r="H29" i="8" s="1"/>
  <c r="H27" i="8"/>
  <c r="H28" i="8"/>
  <c r="H28" i="7"/>
  <c r="J23" i="8"/>
  <c r="J24" i="8"/>
  <c r="D22" i="8"/>
  <c r="I22" i="8" s="1"/>
  <c r="D24" i="8"/>
  <c r="I24" i="8" s="1"/>
  <c r="D23" i="8"/>
  <c r="I23" i="8" s="1"/>
  <c r="I21" i="7"/>
  <c r="J20" i="8"/>
  <c r="D30" i="8"/>
  <c r="D29" i="8"/>
  <c r="D28" i="8"/>
  <c r="E28" i="8" s="1"/>
  <c r="D27" i="8"/>
  <c r="E27" i="8" s="1"/>
  <c r="E24" i="8"/>
  <c r="C23" i="8"/>
  <c r="E23" i="8" s="1"/>
  <c r="F22" i="8"/>
  <c r="C22" i="8"/>
  <c r="E22" i="8" s="1"/>
  <c r="O37" i="10" l="1"/>
  <c r="K28" i="10"/>
  <c r="J30" i="9"/>
  <c r="J41" i="9" s="1"/>
  <c r="F34" i="9"/>
  <c r="I34" i="9" s="1"/>
  <c r="K34" i="9" s="1"/>
  <c r="E31" i="10"/>
  <c r="G31" i="10" s="1"/>
  <c r="J31" i="10" s="1"/>
  <c r="K26" i="10"/>
  <c r="L26" i="10"/>
  <c r="K27" i="10"/>
  <c r="L27" i="10"/>
  <c r="I25" i="10"/>
  <c r="F25" i="10" s="1"/>
  <c r="E26" i="8"/>
  <c r="H26" i="8" s="1"/>
  <c r="J32" i="8" s="1"/>
  <c r="K49" i="7"/>
  <c r="D48" i="7"/>
  <c r="K16" i="6"/>
  <c r="K48" i="7"/>
  <c r="K45" i="7"/>
  <c r="D45" i="7"/>
  <c r="K44" i="7"/>
  <c r="K43" i="7"/>
  <c r="E29" i="7"/>
  <c r="O17" i="5"/>
  <c r="H29" i="7"/>
  <c r="H35" i="7"/>
  <c r="J35" i="7" s="1"/>
  <c r="M18" i="5"/>
  <c r="M17" i="5"/>
  <c r="M28" i="7"/>
  <c r="M29" i="7" s="1"/>
  <c r="C28" i="7" s="1"/>
  <c r="D28" i="7" s="1"/>
  <c r="E28" i="7" s="1"/>
  <c r="I23" i="7"/>
  <c r="I24" i="7"/>
  <c r="N14" i="5"/>
  <c r="O14" i="5"/>
  <c r="H33" i="7"/>
  <c r="J33" i="7" s="1"/>
  <c r="E35" i="7"/>
  <c r="E34" i="7"/>
  <c r="H34" i="7" s="1"/>
  <c r="J34" i="7" s="1"/>
  <c r="D23" i="7"/>
  <c r="D24" i="7"/>
  <c r="D22" i="7"/>
  <c r="E32" i="7"/>
  <c r="H32" i="7" s="1"/>
  <c r="J32" i="7" s="1"/>
  <c r="D32" i="7"/>
  <c r="D31" i="7"/>
  <c r="E31" i="7" s="1"/>
  <c r="H31" i="7" s="1"/>
  <c r="J31" i="7" s="1"/>
  <c r="D30" i="7"/>
  <c r="E30" i="7" s="1"/>
  <c r="H30" i="7" s="1"/>
  <c r="J30" i="7" s="1"/>
  <c r="E25" i="7"/>
  <c r="D25" i="7" s="1"/>
  <c r="E24" i="7"/>
  <c r="E23" i="7"/>
  <c r="E22" i="7"/>
  <c r="D20" i="7"/>
  <c r="C20" i="7"/>
  <c r="D21" i="7"/>
  <c r="C21" i="7"/>
  <c r="I16" i="6"/>
  <c r="H16" i="6"/>
  <c r="I14" i="6"/>
  <c r="I13" i="6"/>
  <c r="I12" i="6"/>
  <c r="I11" i="6"/>
  <c r="I10" i="6"/>
  <c r="I9" i="6"/>
  <c r="I8" i="6"/>
  <c r="H14" i="6"/>
  <c r="H13" i="6"/>
  <c r="H12" i="6"/>
  <c r="H11" i="6"/>
  <c r="H10" i="6"/>
  <c r="H9" i="6"/>
  <c r="H8" i="6"/>
  <c r="B8" i="6"/>
  <c r="G15" i="4"/>
  <c r="G12" i="4"/>
  <c r="G10" i="4"/>
  <c r="G13" i="4"/>
  <c r="G7" i="3"/>
  <c r="G8" i="4"/>
  <c r="G7" i="4"/>
  <c r="G6" i="4"/>
  <c r="M9" i="3"/>
  <c r="M11" i="3" s="1"/>
  <c r="M8" i="3"/>
  <c r="M7" i="3"/>
  <c r="G14" i="3"/>
  <c r="G12" i="3"/>
  <c r="G11" i="3"/>
  <c r="G9" i="3"/>
  <c r="J42" i="10" l="1"/>
  <c r="I41" i="9"/>
  <c r="K41" i="9"/>
  <c r="K43" i="9" s="1"/>
  <c r="K25" i="10"/>
  <c r="K42" i="10" s="1"/>
  <c r="L25" i="10"/>
  <c r="H32" i="8"/>
  <c r="J35" i="8"/>
  <c r="J36" i="8" s="1"/>
  <c r="J38" i="8" s="1"/>
  <c r="I25" i="7"/>
  <c r="J25" i="7"/>
  <c r="H37" i="7"/>
  <c r="I22" i="7"/>
  <c r="I37" i="7" s="1"/>
  <c r="J37" i="7"/>
  <c r="J39" i="7" s="1"/>
  <c r="J40" i="7" s="1"/>
  <c r="N23" i="5"/>
  <c r="N24" i="5" s="1"/>
  <c r="N21" i="5"/>
  <c r="O21" i="5"/>
  <c r="M21" i="5"/>
  <c r="O18" i="5"/>
  <c r="O19" i="5"/>
  <c r="M19" i="5"/>
  <c r="N16" i="5"/>
  <c r="O16" i="5"/>
  <c r="N15" i="5"/>
  <c r="O15" i="5"/>
  <c r="I15" i="5"/>
  <c r="C14" i="5"/>
  <c r="J14" i="5"/>
  <c r="L42" i="10" l="1"/>
  <c r="K44" i="10" s="1"/>
  <c r="L50" i="10" s="1"/>
  <c r="K50" i="10" s="1"/>
  <c r="L51" i="10" s="1"/>
  <c r="K51" i="10" s="1"/>
  <c r="L52" i="10" s="1"/>
  <c r="K52" i="10" s="1"/>
  <c r="K44" i="9"/>
  <c r="O65" i="1"/>
  <c r="O64" i="1"/>
  <c r="M65" i="1"/>
  <c r="M64" i="1"/>
  <c r="M69" i="1"/>
  <c r="M63" i="1"/>
  <c r="G63" i="1"/>
  <c r="M68" i="1"/>
  <c r="K45" i="10" l="1"/>
  <c r="D45" i="2"/>
  <c r="F43" i="2"/>
  <c r="C44" i="2"/>
  <c r="C37" i="2" l="1"/>
  <c r="F28" i="2"/>
  <c r="C29" i="2"/>
  <c r="C28" i="2"/>
  <c r="F36" i="2" l="1"/>
  <c r="F3" i="2"/>
  <c r="J21" i="2"/>
  <c r="C22" i="2"/>
  <c r="F23" i="2"/>
  <c r="F21" i="2"/>
  <c r="F24" i="2" s="1"/>
  <c r="J8" i="2"/>
  <c r="F8" i="2"/>
  <c r="C9" i="2"/>
  <c r="F10" i="2" s="1"/>
  <c r="F11" i="2"/>
  <c r="J15" i="2"/>
  <c r="F18" i="2"/>
  <c r="F17" i="2"/>
  <c r="F15" i="2"/>
  <c r="M44" i="1"/>
  <c r="M45" i="1"/>
  <c r="M47" i="1"/>
  <c r="F5" i="2"/>
  <c r="C4" i="2"/>
  <c r="F25" i="2" l="1"/>
  <c r="F12" i="2"/>
  <c r="H64" i="1"/>
  <c r="H63" i="1"/>
  <c r="G64" i="1"/>
  <c r="J54" i="1"/>
  <c r="K54" i="1"/>
  <c r="C64" i="1"/>
  <c r="I55" i="1"/>
  <c r="J55" i="1" s="1"/>
  <c r="K55" i="1" s="1"/>
  <c r="I56" i="1"/>
  <c r="J56" i="1" s="1"/>
  <c r="K56" i="1" s="1"/>
  <c r="I54" i="1"/>
  <c r="C44" i="1"/>
  <c r="F43" i="1" s="1"/>
  <c r="J43" i="1" s="1"/>
  <c r="F35" i="1"/>
  <c r="C25" i="1"/>
  <c r="F26" i="1" s="1"/>
  <c r="F18" i="1"/>
  <c r="F16" i="1"/>
  <c r="J16" i="1" s="1"/>
  <c r="F20" i="1" s="1"/>
  <c r="F19" i="2" l="1"/>
  <c r="F45" i="1"/>
  <c r="F24" i="1"/>
  <c r="J24" i="1" s="1"/>
  <c r="F28" i="1" s="1"/>
  <c r="F19" i="1"/>
  <c r="M43" i="1"/>
  <c r="F47" i="1"/>
  <c r="F46" i="1"/>
  <c r="F33" i="1"/>
  <c r="J33" i="1" s="1"/>
  <c r="F27" i="1" l="1"/>
  <c r="F37" i="1"/>
  <c r="F36" i="1"/>
</calcChain>
</file>

<file path=xl/sharedStrings.xml><?xml version="1.0" encoding="utf-8"?>
<sst xmlns="http://schemas.openxmlformats.org/spreadsheetml/2006/main" count="672" uniqueCount="277">
  <si>
    <t>1)</t>
  </si>
  <si>
    <t xml:space="preserve">Complete en el siguiente cuadro, la incidencia de cada factor productivo en las componentes del costo (marque con una cruz cuando corresponda), sin conocer con precisión  de qué tipo de bien se trata, pero teniendo información de su vida útil. </t>
  </si>
  <si>
    <t>Incidencia en el costo</t>
  </si>
  <si>
    <t>Gastos</t>
  </si>
  <si>
    <t>Amortizacion</t>
  </si>
  <si>
    <t>Costo de oportunidad</t>
  </si>
  <si>
    <t>Infinitos actos productivos</t>
  </si>
  <si>
    <t>Mas de un acto productivo</t>
  </si>
  <si>
    <t>Un acto productivo</t>
  </si>
  <si>
    <t>Duracion</t>
  </si>
  <si>
    <t>2)</t>
  </si>
  <si>
    <t>3)</t>
  </si>
  <si>
    <t>4)</t>
  </si>
  <si>
    <t>5)</t>
  </si>
  <si>
    <t>6)</t>
  </si>
  <si>
    <t>7)</t>
  </si>
  <si>
    <t xml:space="preserve">Calcule el valor actual (VA) de una máquina cuyo valor a nuevo (VN) es $12.000. Su vida útil (VU) se estima en 10 años y su duración futura probable (DFP) es de 4 años. Se estima que no tendrá valor residual (VR). </t>
  </si>
  <si>
    <t>Calcule el VA de una máquina cuyo VN es de $2.000 y su VR es del 20% del VN. Su vida útil se estima en 6 años y su duración futura probable es de dos años.</t>
  </si>
  <si>
    <t>Determine la cuota de amortización (bajo el método simple o lineal) de un bien cuyo VN es de $5000, que tiene una VU de 20 años, se halla en la mitad de la misma y se estima que no tendrá valor residual</t>
  </si>
  <si>
    <t xml:space="preserve">Calcule el valor con el cual incidirá un equipo en la componente de costo de oportunidad, cuyo VN es de $3000 y su VR del 20% del mismo. Su vida útil se estima en 30 años y se encuentra en los 20 años de su puesta en funcionamiento. El costeo se realiza en forma anual, y la tasa de interés del mercado se estima en un 30%. </t>
  </si>
  <si>
    <t>Calcule la cuota de amortización anual de las tres siguientes máquinas, en base a los datos de la planilla</t>
  </si>
  <si>
    <t xml:space="preserve">Calcular la amortización horaria de un tractor cuyo valor a nuevo es de $50.000, y se estima que después de transcurridos los 5 años de vida útil, tendrá un valor de venta como usado equivalente al 20% de su valor a nuevo. El uso de dicha maquinaria se estima en: a) 512 hs anuales cuando es utilizada en cultivos de soja; b) en 261 hs anuales para el cultivo de trigo. </t>
  </si>
  <si>
    <t>Equipo</t>
  </si>
  <si>
    <t>VN ($)</t>
  </si>
  <si>
    <t>VR ($)</t>
  </si>
  <si>
    <t>VU (horas de uso)</t>
  </si>
  <si>
    <t>Uso anual efectivo (horas)</t>
  </si>
  <si>
    <t>A</t>
  </si>
  <si>
    <t>B</t>
  </si>
  <si>
    <t>C</t>
  </si>
  <si>
    <t>XXX</t>
  </si>
  <si>
    <t>No contemplo en gastos porque no se consume en un acto rductivo. No se amortiza porque no se consume en varios actos producctivos (vida ilimitada). Solo incide como costo de oportunidad</t>
  </si>
  <si>
    <t>Bienes durables. No es un gasto porque no se consume en un acto. Si se debe armortizar porque se consume en varios actos producctivos. Tendra un costo de oportunidad</t>
  </si>
  <si>
    <t>Computar como un gasto ya que se consume en un solo acto productivo. No se amortiza porque no se consume en varios actos productivos. Tendra un COK</t>
  </si>
  <si>
    <t>VN</t>
  </si>
  <si>
    <t>DFP</t>
  </si>
  <si>
    <t>VR</t>
  </si>
  <si>
    <t>Amor. Anual</t>
  </si>
  <si>
    <t>(VN-VR)/VU</t>
  </si>
  <si>
    <t>Valor actual</t>
  </si>
  <si>
    <t>VU (DTA)</t>
  </si>
  <si>
    <t>((VN-VR)*(DFP/DTA))+VU</t>
  </si>
  <si>
    <t>Valor amortizable</t>
  </si>
  <si>
    <t>COK</t>
  </si>
  <si>
    <t>COK $</t>
  </si>
  <si>
    <t>Amort. Anual</t>
  </si>
  <si>
    <t>Valor amort.</t>
  </si>
  <si>
    <t>VA del valor amort.</t>
  </si>
  <si>
    <t>Amort. / hora</t>
  </si>
  <si>
    <t>horas en soja</t>
  </si>
  <si>
    <t>horas en trigo</t>
  </si>
  <si>
    <t>amort. / hs soja</t>
  </si>
  <si>
    <t>amort. / hs trigo</t>
  </si>
  <si>
    <t>a)</t>
  </si>
  <si>
    <t>b)</t>
  </si>
  <si>
    <t>VA</t>
  </si>
  <si>
    <t>((VN-VR)*(DFP/DTA))+VR</t>
  </si>
  <si>
    <t>VU</t>
  </si>
  <si>
    <t>En el supuesto que se hagan los dos cultivos en el año</t>
  </si>
  <si>
    <t>Amort. Anual soja</t>
  </si>
  <si>
    <t>Amort. Anual trigo</t>
  </si>
  <si>
    <t>Total horas</t>
  </si>
  <si>
    <t>Por hora del uso del tractor</t>
  </si>
  <si>
    <t>SOJA</t>
  </si>
  <si>
    <t>TRIGO</t>
  </si>
  <si>
    <t>8)</t>
  </si>
  <si>
    <t>La producción de una empresa en el período fue de 25.000 unidades; el precio de venta de cada unidad fue de $20 (neta de impuestos). Para ello incurrió en los siguientes costos: 
salario: $150.000; otros insumos: $80.000; amortizaciones: $50.000; e Intereses: $60.000. Determine las distintas medidas de resultado. Conociendo que la rentabilidad sobre costos promedio del sector es del 30%, determine y comente las medidas de resultados de esta actividad.</t>
  </si>
  <si>
    <t>9)</t>
  </si>
  <si>
    <t>Una Cooperativa de agua potable de una localidad de la provincia cobra una tarifa (neta de impuestos) de $16 por metro cúbico de agua provista a cada vecino. La producción y provisión anual ascienden a 16.000 metros cúbicos y los costos por la prestación del servicio comprenden $150.000 de costo salarial total, $50.000 de insumos, $30.000 de amortización y mantenimiento de la planta, los intereses serán de $6.000 y el costo de la energía eléctrica se estima en $33.000. Se solicita que calcule y comente las medidas de resultado, sabiendo que la rentabilidad sobre costos promedio de otros prestadores del servicio de similar escala asciende al 10%.</t>
  </si>
  <si>
    <t>10)</t>
  </si>
  <si>
    <r>
      <t xml:space="preserve">Una empresa que se dedica a la fabricación de cocinas solares como único producto, desea calcular el costo por unidad. 
El proceso de producción se lleva a cabo en un galpón con un valor actual de $800.000 y un valor residual igual al 30% de dicho valor. Su vida futura probable es de 25 años.
De materia prima tendrá como gasto $10.000 por cocina.
Necesitará de una cortadora de caño y una soldadora.La cortadora tiene un VN=$20.000, una VFP de 8 años, VU=10años, y un valor residual de $5000. La soldadora tiene un VA=$12000, un VFP de 5 años.
Trabajará el dueño y un empleado por $25000 mensuales cada uno, con cargas sociales incluidas, trabajando 20 horas semanales. 
Se estima que se producirán 15 cocinas al mes. 
El gasto entre servicios, impuestos y tasas asciende a $20.000 mensuales. 
Las tasas de interés del mercado ascienden a 40% anual. El periodo de recupero del capital se estima en 3 meses. 
</t>
    </r>
    <r>
      <rPr>
        <i/>
        <sz val="11"/>
        <color theme="1"/>
        <rFont val="Calibri"/>
        <family val="2"/>
        <scheme val="minor"/>
      </rPr>
      <t>Calcule el costo de producción de una cocina.</t>
    </r>
  </si>
  <si>
    <t>11)</t>
  </si>
  <si>
    <t>12)</t>
  </si>
  <si>
    <t>13)</t>
  </si>
  <si>
    <t>14)</t>
  </si>
  <si>
    <t>15)</t>
  </si>
  <si>
    <t>16)</t>
  </si>
  <si>
    <t>Galpon</t>
  </si>
  <si>
    <t>Cortadora</t>
  </si>
  <si>
    <t>Soldadora</t>
  </si>
  <si>
    <t>Materia prima</t>
  </si>
  <si>
    <t>Serv+imp+tas</t>
  </si>
  <si>
    <t>Por cocina</t>
  </si>
  <si>
    <t>Por mes</t>
  </si>
  <si>
    <t>Cocinas/mes</t>
  </si>
  <si>
    <t>Cocinas/año</t>
  </si>
  <si>
    <t>Tasa anual</t>
  </si>
  <si>
    <t>Periodo recupero del cap</t>
  </si>
  <si>
    <t>meses</t>
  </si>
  <si>
    <t>G</t>
  </si>
  <si>
    <t>TOTAL</t>
  </si>
  <si>
    <t>VA=</t>
  </si>
  <si>
    <t>VN=</t>
  </si>
  <si>
    <t>VA*(DTA/DFP)</t>
  </si>
  <si>
    <t>A=</t>
  </si>
  <si>
    <t>(VA-VR)/DFP</t>
  </si>
  <si>
    <t>Dueño+emple</t>
  </si>
  <si>
    <t>Costo de produccion anual</t>
  </si>
  <si>
    <t>Costo de produccion cocina</t>
  </si>
  <si>
    <t>Un emprendedor estuvo haciendo los costos de uno de sus productos, y obtuvo como resultado los siguientes valores: gastos= $50.000/mes, amortizaciones=$120.000/año, COK= $100.000 /año. 
Estima que los costos indirectos o generales representan un 10% de los directos. La ganancia pretendida es de un 20% y los impuestos a la venta alcanzan un 30%. 
Anualmente se producirán 5000 unidades del producto.
Estime el costo directo anual y unitario, el precio de venta de cada unidad, y la ganancia anual y  unitaria.Indique el valor del coeficiente resumen.</t>
  </si>
  <si>
    <t>Tinglado</t>
  </si>
  <si>
    <t>Maquina 1</t>
  </si>
  <si>
    <t>Maquina 2</t>
  </si>
  <si>
    <t>Vehiculo</t>
  </si>
  <si>
    <t>Planchas</t>
  </si>
  <si>
    <t>Impuestos</t>
  </si>
  <si>
    <t>Produccion</t>
  </si>
  <si>
    <t>Precio de venta</t>
  </si>
  <si>
    <t>Salario</t>
  </si>
  <si>
    <t>Otros insumos</t>
  </si>
  <si>
    <t>Amortizaciones</t>
  </si>
  <si>
    <t>Intereses</t>
  </si>
  <si>
    <t>DATOS</t>
  </si>
  <si>
    <t>Valor de la produc. Anual</t>
  </si>
  <si>
    <t>Costos anuales</t>
  </si>
  <si>
    <t>Beneficio (VP - C)</t>
  </si>
  <si>
    <t>Beneficio o Ganacia p/unidad</t>
  </si>
  <si>
    <t>(VP - C) / unidades</t>
  </si>
  <si>
    <t xml:space="preserve">Costo por unidad </t>
  </si>
  <si>
    <t>Rentabilidad por unidad</t>
  </si>
  <si>
    <t>Rentabilidad del sector</t>
  </si>
  <si>
    <t>Eficiencia</t>
  </si>
  <si>
    <t>Eficacia</t>
  </si>
  <si>
    <t>Analisis vertical</t>
  </si>
  <si>
    <t>Analisis horizontal</t>
  </si>
  <si>
    <t>Podemos hacer un analisis horizontal. Sabemos que la rentabilidad de empresas analogas es del 30% y el de nuestra empresa es del 47%. Nuestra restabilidad supera la rentabilidad promedio del sector.</t>
  </si>
  <si>
    <t>Podemos concluir que esta empresa es eficaz ya que se venden prouctos a $20, de los cuales se obtienen $6.40 de ganancia.</t>
  </si>
  <si>
    <t>Como no tengo datos a lo largo del tiempo no puedo realizar un analisis vertical. Porque no puedo saber si la empresa ha evolucionado o no.</t>
  </si>
  <si>
    <t>Vendidas</t>
  </si>
  <si>
    <t>Ventas</t>
  </si>
  <si>
    <t>Costo de venta</t>
  </si>
  <si>
    <t>Resultado ventas</t>
  </si>
  <si>
    <t>Rentabilidad</t>
  </si>
  <si>
    <t>OTRO ANALISIS</t>
  </si>
  <si>
    <t>Produccion anual</t>
  </si>
  <si>
    <t>m3</t>
  </si>
  <si>
    <t>Salario total</t>
  </si>
  <si>
    <t>Insumos</t>
  </si>
  <si>
    <t>Energia electrica</t>
  </si>
  <si>
    <t>Tarifa neta de impuestos</t>
  </si>
  <si>
    <t>por m3</t>
  </si>
  <si>
    <t>No se logra</t>
  </si>
  <si>
    <t>Rentabilidad promedio de otros prestadores</t>
  </si>
  <si>
    <t>Podemos hacer un analisis horizontal. Sabemos que la rentabilidad de empresas analogas es del 10% y el de nuestra empresa es del -4.83%. Nuestra restabilidad es inferior a la rentabilidad promedio de los otros prestadores.</t>
  </si>
  <si>
    <t>Gastos (anual)</t>
  </si>
  <si>
    <t>COK (anual)</t>
  </si>
  <si>
    <t>CD</t>
  </si>
  <si>
    <t>Anual</t>
  </si>
  <si>
    <t>Unitario</t>
  </si>
  <si>
    <t>CI</t>
  </si>
  <si>
    <t>Costos totales</t>
  </si>
  <si>
    <t>Ganancia</t>
  </si>
  <si>
    <t>Precio de venta sin impuestos (CT+G)</t>
  </si>
  <si>
    <t>Precio de venta con impuestos</t>
  </si>
  <si>
    <t>Coeficiente resumen</t>
  </si>
  <si>
    <t>r (rentabilidad esperada)</t>
  </si>
  <si>
    <t>t (costo impositivo)</t>
  </si>
  <si>
    <t>u (costos generales)</t>
  </si>
  <si>
    <t>Terreno</t>
  </si>
  <si>
    <t>Año</t>
  </si>
  <si>
    <t>Servicio</t>
  </si>
  <si>
    <t>Encargado</t>
  </si>
  <si>
    <t>Mes</t>
  </si>
  <si>
    <t>Operarios (7)</t>
  </si>
  <si>
    <t>Mantenimiento Maquina 1</t>
  </si>
  <si>
    <t>Mantenimiento Maquina 2</t>
  </si>
  <si>
    <t>Producciones/mes</t>
  </si>
  <si>
    <t>Tasa capital fundiario</t>
  </si>
  <si>
    <t>Tasa capital fijo</t>
  </si>
  <si>
    <t>Tasa capital circulante</t>
  </si>
  <si>
    <t>Costo/Rendi</t>
  </si>
  <si>
    <r>
      <t xml:space="preserve">Un producto tiene un proceso con las siguientes características:
Es necesario contar con un tinglado de 70m x 50m. Es posible estimar el valor de una construcción de este tipo en 750$/m2, y una vez construido su vida útil será de 40 años. Además se requiere un área de maniobras para los camiones de 4000 m2. A partir de sondeo inmobiliario es posible considerar que el valor del terreno, puede rondar los 80$/m2. 
En cuanto a las maquinarias necesarias son las siguientes: 
• Una Máquina tipo 1, cuyo valor a nuevo es de 50.000, su Vida Útil es de 20 años, su Valor Residual del 20% del Valor a Nuevo, con un Mantenimiento Anual del 1%. Se la consigue con 5 años de uso.
• Dos Máquinas tipo 2, cuyo valor a nuevo es de 25.000, su Vida Util Total es de 10 años, su Valor Residual del 10% del Valor a Nuevo, con un Mantenimiento Anual del 1,5%. Se compran las máquinas a las cuales le quedan 8 años de uso.
Además de las máquinas es necesario contar con un vehículo. Su valor a nuevo es de 80.000$, con una vida Útil Total de 20 años y un valor residual de 15%. Se conseguirá un vehículo con 5 años de uso. 
El principal insumo que se requiere son planchas de fibrofácil: con 10 planchas de fibrofácil se elaboran 150 unidades de productos. La plancha se adquiere a 75$ cada una. 
Se conoce en forma aproximada que los impuestos serán de 600 $/bimestre, los servicios de luz, teléfono y gas 2000$/mes. En cuanto a la mano de obra será necesario contar con 7 operarios y una persona encargada de planta, por turno, con un salario de $1900 y $3200 respectivamente (incluyen cargas sociales y SAC). Se trabajará en dos turnos. 
</t>
    </r>
    <r>
      <rPr>
        <b/>
        <sz val="11"/>
        <color theme="1"/>
        <rFont val="Calibri"/>
        <family val="2"/>
        <scheme val="minor"/>
      </rPr>
      <t>Se espera generar 35.000 unidades del producto por mes. Considerar como tasa para el capital fundiario: 5%, para el fijo: 7% y 10% para el circulante con una inmovilización promedio de 4 meses.</t>
    </r>
    <r>
      <rPr>
        <sz val="11"/>
        <color theme="1"/>
        <rFont val="Calibri"/>
        <family val="2"/>
        <scheme val="minor"/>
      </rPr>
      <t xml:space="preserve">
A su vez incluir: Porcentaje de Gastos Generales: 12%, Beneficios Empresariales: 10% e Impositivos: 21% de IVA y 3.5% de Ingresos Brutos.                                                                                 </t>
    </r>
    <r>
      <rPr>
        <b/>
        <i/>
        <sz val="11"/>
        <color theme="1"/>
        <rFont val="Calibri"/>
        <family val="2"/>
        <scheme val="minor"/>
      </rPr>
      <t>Consignas:Calcular el precio de venta después de impuestos</t>
    </r>
  </si>
  <si>
    <t>MATERIA PRIMA</t>
  </si>
  <si>
    <t>Con una plancha hago</t>
  </si>
  <si>
    <t>unidades</t>
  </si>
  <si>
    <t>Produccion p/unidad</t>
  </si>
  <si>
    <t xml:space="preserve">inmovilización promedio </t>
  </si>
  <si>
    <t>año</t>
  </si>
  <si>
    <t>mes</t>
  </si>
  <si>
    <t>Precio de venta s/impuestos</t>
  </si>
  <si>
    <t>Gastos generales</t>
  </si>
  <si>
    <t>Beneficios empresariales</t>
  </si>
  <si>
    <t>Costos impositivos</t>
  </si>
  <si>
    <t>IVA</t>
  </si>
  <si>
    <t>Brutos</t>
  </si>
  <si>
    <t>Precio con gastos generales</t>
  </si>
  <si>
    <t>Precio con beneficios empresariales</t>
  </si>
  <si>
    <t>Precio con costos impositivos</t>
  </si>
  <si>
    <t>Precio de venta c/impuestos</t>
  </si>
  <si>
    <t>Una posibilidad de inversión requiere la compra de un terreno valuado en $250.000 y un galpón de $180.000 (con vida útil de 30 años). Para la elaboración de un determinado producto se requieren 2 tipos de maquinarias:</t>
  </si>
  <si>
    <t>Maquina</t>
  </si>
  <si>
    <t>Además es necesario contar con un camión, adquiriéndose uno nuevo por un valor de $110.000, su V.U. de 10 años y su V.R. de 20%.
Se requiere materia prima que rinde cada 1.000 grs. 25 unidades de producto. La materia prima se compra en bolsas de 5 kg. a un precio de $525 la bolsa y de cada una se tiene un desperdicio del 10%. 
Los impuestos serán de 450 $/bimestre, los servicios de luz, tel. y gas 500$/mes. 
En cuanto a la mano de obra será necesario contar con 6 obreros y un encargado de fábrica por turno, con un salario mensual de $1.500 y $2.500 respectivamente. Se trabajará en dos turnos de 8 horas cada uno. 
Se espera generar 8.000 unidades del producto por mes. 
Considerar como tasa para el capital fundiario: 6%, para el fijo: 8% y 12% para el circulante con una inmovilización promedio de 2 meses.</t>
  </si>
  <si>
    <t>Determine: Costo total y unitario de producción. Precio de Venta con un CR de 1,8. Clasifique los costos que intervienen en este proceso productivo, justificando en cada caso.</t>
  </si>
  <si>
    <t>Maquina A</t>
  </si>
  <si>
    <t>Maquina B</t>
  </si>
  <si>
    <t>Camion</t>
  </si>
  <si>
    <t>Unidades por mes</t>
  </si>
  <si>
    <t>Servicios</t>
  </si>
  <si>
    <t>12  obreros</t>
  </si>
  <si>
    <t>2 encargado</t>
  </si>
  <si>
    <t>kg</t>
  </si>
  <si>
    <t>$</t>
  </si>
  <si>
    <t>$ desperdicio</t>
  </si>
  <si>
    <t>Total MP con desperdi</t>
  </si>
  <si>
    <t>por mes</t>
  </si>
  <si>
    <t>por unidad</t>
  </si>
  <si>
    <t>Consignas:
A. Determinar el costo total y unitario anual.
B. Además, con los datos determinados en el punto anterior, calcula el precio de venta después de impuestos.Gastos Indirectos totales 20%, Utilidad empresaria pretendida 25%, Impuestos 32%
C. Teniendo en cuenta el ejercicio planteado clasifique, de acuerdo a los criterios que Ud. conoce, los ítems de costos referidos a Alquileres y Mano de obra.</t>
  </si>
  <si>
    <t>Una empresa dedicada al acopio y comercialización de cereales desea desarrollar una nueva línea de negocios orientada a dotar de un valor agregado a su producción primaria. En  ese sentido está evaluando la posibilidad de de construir una planta de alimento balanceado.
Para este nuevo desarrollo deberá adquirir un predio de 10.000mts² en el que se instalará un galpón de unos 1.200mts², cuyo valor a nuevo es de $300.000 y el precio del terreno se estima en unos $400.000 adicionales. La vida útil del galpón se estima en 30 años y el valor residual un 10% del VN. El costo mensual de un alquiler de un inmueble de esas características asciende a $ 22.500.
La empresa tendrá que contar con una máquina nueva para afectar a dicho proyecto. Para ello se arrendará una que nos ofrece un empresario amigo, el canon mensual es de $2.800. La máquina está valuada en $150.000 y su vida útil que ha sido estimada en 250.000tn de procesamiento de cereales. El costo de mantenimiento mensual se estima en $500 y se 
encuentran incluidos en el valor de locación.
También será necesario adquirir un camión con acoplado para el transporte del cereal utilizado como insumo del proyecto y del alimento balanceado obtenido del proceso citado. El camión será adquirido nuevo, en un precio de $180.000. Su vida útil futura estimada es de 10 años yse calcula que tendrá un valor residual del 20%.
Se deberá contratar especialmentetres empleados para afrontar el nuevo desarrollo, la remuneración “de bolsillo” será de $1.800 mensuales y un monto adicional por tonelada procesada de $0,5 para cada uno que se liquidará y pagará junto con sus remuneraciones mensuales.
Los empleados estarán a cargo del actual capataz de la empresa quien los supervisará dentro de sus actuales horarios y tareas. Su remuneración total mensual asciende a $12.000. 
Los costos correspondientes a las cargas sociales de todo personal serán del 60% de la remuneración neta o de bolsillo que se perciba.
Como insumo principal de la producción se utiliza un determinado cereal cuyo costo es de $500 por Tn. La relación de producción indica que por cada Tn. de cereal procesada se obtienen 1.000Kg. de alimento balanceado, el cuál debe ser embolsado en bolsas de 500kg cada una. Las bolsas tienen un costo de $25 cada una.
El costo de la energía eléctrica consumida en el proyecto es de $1.500 por bimestre y el alquiler del sampi (auto elevador) para el movimiento de las bolsas de alimento balanceado asciende a $2.800 mensuales, siendo el costo actual del encargado administrativo de $3.000 mensuales por todo concepto y se estima que por el nuevo emprendimiento recibirá una cifra adicional del 20%. 
Se esperan procesar 25.000Tn de cereales en al año.
Las tasas que se obtienen en el mercado, para los distintos tipos de capital: 7%, 10% y 15% y teniendo en cuenta que la producción se comercializa al finalizar cada campaña, el circulante rota en promedio 3 veces al año.</t>
  </si>
  <si>
    <t>Propiedad lindera</t>
  </si>
  <si>
    <t>Mantenimiento Maquina B</t>
  </si>
  <si>
    <t>tn MP</t>
  </si>
  <si>
    <t>Unidades</t>
  </si>
  <si>
    <t>Material complementario</t>
  </si>
  <si>
    <t>Costo</t>
  </si>
  <si>
    <t>Unidad</t>
  </si>
  <si>
    <t>Por unidad</t>
  </si>
  <si>
    <t>Gastos indirectos</t>
  </si>
  <si>
    <t>Predio</t>
  </si>
  <si>
    <t>tn</t>
  </si>
  <si>
    <t>kg alimento</t>
  </si>
  <si>
    <t>Bolsas (kg)</t>
  </si>
  <si>
    <t>Cereales al año</t>
  </si>
  <si>
    <t>Toneladas</t>
  </si>
  <si>
    <t>Kg</t>
  </si>
  <si>
    <t>3 encargados</t>
  </si>
  <si>
    <t>12 empleados</t>
  </si>
  <si>
    <t>Un proceso productivo presenta las siguientes características:
Se desarrolla en un galpón de la empresa que presenta un valor actual de $320.000, y la vida útil futura se estima en 50 años. Además se requiere un inmueble adicional para el desarrollo de las tareas complementarias al proceso principal, arrendándose a tal efecto una propiedad lindera en $5.000 cuatrimestrales.                                                                                                                                                Las máquinas necesarias son las siguientes: 
• Maq. A, con un valor a nuevo de 22.000, una vida útil estimada en 500.000 piezas de producto, su Valor Residual del 20% del Valor a Nuevo. 
• Maq. B, son dos equipos iguales, que se adquieren nuevos, con un valor a nuevo de 15.000 cada una, la vida útil de cada máquina se estima en 10 años, el valor residual es del 5% del Valor a Nuevo. Ambas requieren de un mantenimiento bimestral de $500 cada una.
Además, se requiere un camioncito valuado a nuevo en $72.000, con una vida útil aproximada de 8 años y un valor residual del 20%. Se conseguirá un vehículo con 5 años de uso.                                  El principal insumo rinde 200 unidades de producto por cada tn de materia prima. El costo del insumo es de $700 la tn.
Además, se requiere de un material complementario que se adiciona por unidad a cada producto terminado y cuyo costo asciende a $500 las mil unidades.
Los servicios ascienden a $600 el bimestre y los impuestos a $120 mensuales.
En cuanto a la mano de obra será necesario contar con 4 operarios por turno, trabajando en tres de ocho horas cada uno y una persona encargada de planta por turno, con un salario de $1.500 y $3.000 c/u, respectivamente. En caso de alcanzar la producción mensual programada se abonará, adicionalmente, $ 0,20 por unidad que supera los 20.000 productos, repartiéndose en partes iguales entre los operarios. Las cargas sociales se estiman en un 60%. 
Se espera generar 23.000 unidades del producto por mes.                                                                                                                                                                                                                                                                                  Las tasas que se obtienen en el mercado son: 6%,9% y 14%. El capital circulante rota en promedio 4 veces al año.</t>
  </si>
  <si>
    <t>Alquiler maquina</t>
  </si>
  <si>
    <t>Alquiler sampi</t>
  </si>
  <si>
    <t>Salario empleados</t>
  </si>
  <si>
    <t>adicional/mes</t>
  </si>
  <si>
    <t>anual/empleado</t>
  </si>
  <si>
    <t>Cargas sociales</t>
  </si>
  <si>
    <t>salarios</t>
  </si>
  <si>
    <t>Encargado administrativo</t>
  </si>
  <si>
    <t>Consignas:                                                                                                                                                                                                                                                                                                                                                                                                                                     A. Determinar el costo total anual del nuevo emprendimiento. Calcular el costo por bolsa de alimento balanceado.                                                                                                                                                                                                                B. Además, con los datos determinados en el punto anterior, calcular el precio de venta por bolsa después de impuestos                                                                                                                                                                                                         Los gastos Indirectos totales 19%, utilidad empresaria pretendida 23%, impuestos 30%</t>
  </si>
  <si>
    <t>C/ gastos generales</t>
  </si>
  <si>
    <t>C/ beneficio empresarial</t>
  </si>
  <si>
    <t>C/ impuestos</t>
  </si>
  <si>
    <t>por tonelada</t>
  </si>
  <si>
    <t>por bolsa</t>
  </si>
  <si>
    <t>bolsa</t>
  </si>
  <si>
    <t>A.</t>
  </si>
  <si>
    <t>B.</t>
  </si>
  <si>
    <t>Clasificacion de capital</t>
  </si>
  <si>
    <t>Fundiario</t>
  </si>
  <si>
    <t>Fijo</t>
  </si>
  <si>
    <t>De explotacion circulante</t>
  </si>
  <si>
    <t>De explotacion fijo</t>
  </si>
  <si>
    <t>Clasificacion de costos</t>
  </si>
  <si>
    <t>Implicito</t>
  </si>
  <si>
    <t>Explicito</t>
  </si>
  <si>
    <t>Variable</t>
  </si>
  <si>
    <t>Directo</t>
  </si>
  <si>
    <t>Indirecto</t>
  </si>
  <si>
    <t>Fijo/Variable</t>
  </si>
  <si>
    <t>3 turnos</t>
  </si>
  <si>
    <t>anual</t>
  </si>
  <si>
    <t xml:space="preserve">Como recursos humanos se precisará un ingeniero ambiental (el dueño de la consultora), un edafólogo y un biólogo. Los tres trabajarán a la par, y los honorarios tanto del edafólogo como del biólogo ascienden a $50.000 mensuales cada uno. El dueño no cobrará por el trabajo realizado. </t>
  </si>
  <si>
    <t xml:space="preserve">Precisaran ocupar por completo la oficina que dispone la consultora, cuyo valor a nuevo ronda los 1,5 $M, su valor residual se estima en un 20% del VN. Su vida útil es de 40 años y posee una antigüedad de 10 años. Un alquiler de un sitio semejante ronda los $10.000 mensuales. </t>
  </si>
  <si>
    <t>Precisarán de un auto, cuyo valor a nuevo es de $400.000, su VU=15 años, y VR=10%VN. Se estima que se consumirán 60 litros de combustible mensuales para tareas de campo, estando el precio del litro, en los 35$.</t>
  </si>
  <si>
    <t xml:space="preserve">Se utilizarán dos computadoras. El precio de mercado de cada una es $40.000, su vida útil de 5 años, y el valor residual del 10%. </t>
  </si>
  <si>
    <t xml:space="preserve">Los gastos en papelerías y similares rondarán los $10.000 mensuales, y los servicios, $4.000/mes. Los impuestos se calculan en $4.000 por bimestre. </t>
  </si>
  <si>
    <t xml:space="preserve">Las tasas del mercado rondan el 25% anual. Los gastos indirectos se calculan en un 5%, impuesto el 26% y la ganancia pretendida es del 30%. </t>
  </si>
  <si>
    <t xml:space="preserve">La empresa que contrata el trabajo, pagará el monto presupuestado una vez finalizado el trabajo. </t>
  </si>
  <si>
    <r>
      <t>Consigna:</t>
    </r>
    <r>
      <rPr>
        <sz val="10"/>
        <color theme="1"/>
        <rFont val="Arial"/>
        <family val="2"/>
      </rPr>
      <t xml:space="preserve"> calcule el presupuesto a presentar a la empresa, y estime la ganancia (en $) que se podrá obtener con el trabajo. </t>
    </r>
  </si>
  <si>
    <t xml:space="preserve">Una consultora ambiental debe acercar un presupuesto a una empresa que pretende sus servicios. El trabajo consiste en una evaluación de impacto ambiental cuyo desarrollo, estiman, durará 3 meses. </t>
  </si>
  <si>
    <t>Recursos humanos</t>
  </si>
  <si>
    <t>3 meses</t>
  </si>
  <si>
    <t>Oficina</t>
  </si>
  <si>
    <t>Auto</t>
  </si>
  <si>
    <t>Combustible</t>
  </si>
  <si>
    <t>Computadoras</t>
  </si>
  <si>
    <t>Papelerias</t>
  </si>
  <si>
    <t>Ganancia pretendida</t>
  </si>
  <si>
    <t xml:space="preserve">Tasa  </t>
  </si>
  <si>
    <t>Implicito/Explicito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</si>
</sst>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 #,##0;[Red]\-&quot;$&quot;\ #,##0"/>
    <numFmt numFmtId="44" formatCode="_-&quot;$&quot;\ * #,##0.00_-;\-&quot;$&quot;\ * #,##0.00_-;_-&quot;$&quot;\ * &quot;-&quot;??_-;_-@_-"/>
    <numFmt numFmtId="164" formatCode="_-&quot;$&quot;\ * #,##0_-;\-&quot;$&quot;\ * #,##0_-;_-&quot;$&quot;\ * &quot;-&quot;??_-;_-@_-"/>
    <numFmt numFmtId="165" formatCode="&quot;$&quot;\ #,##0.00"/>
    <numFmt numFmtId="166" formatCode="&quot;$&quot;\ #,##0"/>
    <numFmt numFmtId="167" formatCode="0.0%"/>
    <numFmt numFmtId="168" formatCode="0.000"/>
    <numFmt numFmtId="169" formatCode="0.0"/>
    <numFmt numFmtId="170" formatCode="&quot;$&quot;\ #,##0.0"/>
  </numFmts>
  <fonts count="7" x14ac:knownFonts="1">
    <font>
      <sz val="11"/>
      <color theme="1"/>
      <name val="Calibri"/>
      <family val="2"/>
      <scheme val="minor"/>
    </font>
    <font>
      <b/>
      <i/>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
      <sz val="10"/>
      <color theme="1"/>
      <name val="Arial"/>
      <family val="2"/>
    </font>
  </fonts>
  <fills count="6">
    <fill>
      <patternFill patternType="none"/>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rgb="FF92D05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50">
    <xf numFmtId="0" fontId="0" fillId="0" borderId="0" xfId="0"/>
    <xf numFmtId="0" fontId="1" fillId="2" borderId="0" xfId="0" applyFont="1" applyFill="1" applyAlignment="1">
      <alignment horizontal="right"/>
    </xf>
    <xf numFmtId="0" fontId="0" fillId="3" borderId="0" xfId="0" applyFill="1" applyAlignment="1">
      <alignment horizontal="left" wrapText="1"/>
    </xf>
    <xf numFmtId="0" fontId="0" fillId="0" borderId="1" xfId="0" applyBorder="1" applyAlignment="1">
      <alignment horizontal="center"/>
    </xf>
    <xf numFmtId="0" fontId="0" fillId="0" borderId="0" xfId="0" applyFill="1" applyAlignment="1">
      <alignment wrapText="1"/>
    </xf>
    <xf numFmtId="0" fontId="0" fillId="0" borderId="1" xfId="0" applyFill="1" applyBorder="1" applyAlignment="1">
      <alignment horizontal="center" vertical="center" wrapText="1"/>
    </xf>
    <xf numFmtId="0" fontId="4" fillId="0" borderId="1" xfId="0" applyFont="1" applyBorder="1" applyAlignment="1">
      <alignment horizontal="center"/>
    </xf>
    <xf numFmtId="0" fontId="0" fillId="0" borderId="0" xfId="0" applyFill="1" applyAlignment="1">
      <alignment horizontal="left" wrapText="1"/>
    </xf>
    <xf numFmtId="0" fontId="1" fillId="0" borderId="0" xfId="0" applyFont="1" applyFill="1" applyAlignment="1">
      <alignment horizontal="right"/>
    </xf>
    <xf numFmtId="0" fontId="0" fillId="0" borderId="0" xfId="0" applyAlignment="1">
      <alignment wrapText="1"/>
    </xf>
    <xf numFmtId="44" fontId="0" fillId="0" borderId="0" xfId="0" applyNumberFormat="1" applyFill="1" applyAlignment="1">
      <alignment horizontal="left" wrapText="1"/>
    </xf>
    <xf numFmtId="0" fontId="0" fillId="0" borderId="1" xfId="0" applyFill="1" applyBorder="1" applyAlignment="1">
      <alignment horizontal="left" wrapText="1"/>
    </xf>
    <xf numFmtId="44" fontId="0" fillId="0" borderId="1" xfId="1" applyFont="1" applyFill="1" applyBorder="1" applyAlignment="1">
      <alignment horizontal="left" wrapText="1"/>
    </xf>
    <xf numFmtId="44" fontId="0" fillId="0" borderId="1" xfId="0" applyNumberFormat="1" applyFill="1" applyBorder="1" applyAlignment="1">
      <alignment horizontal="left" wrapText="1"/>
    </xf>
    <xf numFmtId="44" fontId="0" fillId="2" borderId="1" xfId="0" applyNumberFormat="1" applyFill="1" applyBorder="1" applyAlignment="1">
      <alignment horizontal="left" wrapText="1"/>
    </xf>
    <xf numFmtId="0" fontId="0" fillId="2" borderId="1" xfId="0" applyFill="1" applyBorder="1" applyAlignment="1">
      <alignment horizontal="left" wrapText="1"/>
    </xf>
    <xf numFmtId="0" fontId="0" fillId="0" borderId="1" xfId="0" applyFill="1" applyBorder="1" applyAlignment="1">
      <alignment horizontal="right" wrapText="1"/>
    </xf>
    <xf numFmtId="0" fontId="0" fillId="0" borderId="0" xfId="0" applyFill="1" applyBorder="1" applyAlignment="1">
      <alignment horizontal="right" wrapText="1"/>
    </xf>
    <xf numFmtId="0" fontId="0" fillId="0" borderId="0" xfId="0" applyFill="1" applyBorder="1" applyAlignment="1">
      <alignment horizontal="left" wrapText="1"/>
    </xf>
    <xf numFmtId="44" fontId="0" fillId="2" borderId="1" xfId="1" applyFont="1" applyFill="1" applyBorder="1" applyAlignment="1">
      <alignment horizontal="left" wrapText="1"/>
    </xf>
    <xf numFmtId="9" fontId="0" fillId="0" borderId="1" xfId="0" applyNumberFormat="1" applyFill="1" applyBorder="1" applyAlignment="1">
      <alignment horizontal="left" wrapText="1"/>
    </xf>
    <xf numFmtId="164" fontId="0" fillId="0" borderId="1" xfId="1" applyNumberFormat="1" applyFont="1" applyFill="1" applyBorder="1" applyAlignment="1">
      <alignment horizontal="center" vertical="center" wrapText="1"/>
    </xf>
    <xf numFmtId="164" fontId="0" fillId="2" borderId="1" xfId="1" applyNumberFormat="1" applyFont="1" applyFill="1" applyBorder="1" applyAlignment="1">
      <alignment wrapText="1"/>
    </xf>
    <xf numFmtId="44" fontId="0" fillId="2" borderId="1" xfId="1" applyFont="1" applyFill="1" applyBorder="1" applyAlignment="1">
      <alignment wrapText="1"/>
    </xf>
    <xf numFmtId="164" fontId="0" fillId="2" borderId="1" xfId="0" applyNumberFormat="1" applyFill="1" applyBorder="1" applyAlignment="1">
      <alignment wrapText="1"/>
    </xf>
    <xf numFmtId="0" fontId="0" fillId="0" borderId="1" xfId="0" applyFill="1" applyBorder="1" applyAlignment="1">
      <alignment horizontal="center" wrapText="1"/>
    </xf>
    <xf numFmtId="0" fontId="0" fillId="2" borderId="6" xfId="0" applyFill="1" applyBorder="1" applyAlignment="1">
      <alignment horizontal="left" wrapText="1"/>
    </xf>
    <xf numFmtId="44" fontId="0" fillId="0" borderId="1" xfId="0" applyNumberFormat="1" applyBorder="1" applyAlignment="1">
      <alignment horizontal="center"/>
    </xf>
    <xf numFmtId="44" fontId="0" fillId="0" borderId="0" xfId="0" applyNumberFormat="1" applyFill="1" applyBorder="1" applyAlignment="1">
      <alignment horizontal="left" wrapText="1"/>
    </xf>
    <xf numFmtId="0" fontId="0" fillId="0" borderId="0" xfId="0" applyFill="1" applyBorder="1" applyAlignment="1">
      <alignment wrapText="1"/>
    </xf>
    <xf numFmtId="44" fontId="0" fillId="2" borderId="1" xfId="0" applyNumberFormat="1" applyFill="1" applyBorder="1" applyAlignment="1">
      <alignment horizontal="center"/>
    </xf>
    <xf numFmtId="0" fontId="0" fillId="2" borderId="0" xfId="0" applyFill="1" applyBorder="1" applyAlignment="1">
      <alignment horizontal="left" wrapText="1"/>
    </xf>
    <xf numFmtId="44" fontId="3" fillId="2" borderId="0" xfId="1" applyFont="1" applyFill="1" applyBorder="1" applyAlignment="1">
      <alignment horizontal="left" wrapText="1"/>
    </xf>
    <xf numFmtId="0" fontId="0" fillId="0" borderId="0" xfId="0" applyFill="1" applyAlignment="1">
      <alignment horizontal="center" wrapText="1"/>
    </xf>
    <xf numFmtId="44" fontId="0" fillId="2" borderId="6" xfId="0" applyNumberFormat="1" applyFill="1" applyBorder="1" applyAlignment="1">
      <alignment horizontal="left" wrapText="1"/>
    </xf>
    <xf numFmtId="44" fontId="0" fillId="0" borderId="7" xfId="0" applyNumberFormat="1" applyFill="1" applyBorder="1" applyAlignment="1">
      <alignment horizontal="left" wrapText="1"/>
    </xf>
    <xf numFmtId="0" fontId="0" fillId="0" borderId="1" xfId="0" applyBorder="1" applyAlignment="1">
      <alignment horizontal="right"/>
    </xf>
    <xf numFmtId="44" fontId="0" fillId="0" borderId="1" xfId="1" applyFont="1" applyBorder="1"/>
    <xf numFmtId="44" fontId="0" fillId="0" borderId="0" xfId="1" applyFont="1" applyFill="1" applyBorder="1" applyAlignment="1">
      <alignment horizontal="left" wrapText="1"/>
    </xf>
    <xf numFmtId="0" fontId="0" fillId="0" borderId="1" xfId="0" applyBorder="1" applyAlignment="1">
      <alignment horizontal="center" vertical="center"/>
    </xf>
    <xf numFmtId="44" fontId="0" fillId="0" borderId="0" xfId="1" applyFont="1"/>
    <xf numFmtId="44" fontId="0" fillId="2" borderId="0" xfId="0" applyNumberFormat="1" applyFill="1"/>
    <xf numFmtId="9" fontId="3" fillId="0" borderId="1" xfId="2" applyFont="1" applyBorder="1" applyAlignment="1">
      <alignment horizontal="center"/>
    </xf>
    <xf numFmtId="0" fontId="1" fillId="0" borderId="1" xfId="0" applyFont="1" applyBorder="1" applyAlignment="1">
      <alignment horizontal="center"/>
    </xf>
    <xf numFmtId="0" fontId="0" fillId="0" borderId="1" xfId="0" applyFill="1" applyBorder="1" applyAlignment="1">
      <alignment wrapText="1"/>
    </xf>
    <xf numFmtId="44" fontId="0" fillId="0" borderId="1" xfId="0" applyNumberFormat="1" applyBorder="1"/>
    <xf numFmtId="0" fontId="0" fillId="0" borderId="0" xfId="0" applyBorder="1"/>
    <xf numFmtId="0" fontId="0" fillId="0" borderId="8" xfId="0" applyBorder="1"/>
    <xf numFmtId="0" fontId="0" fillId="0" borderId="1" xfId="0" applyBorder="1" applyAlignment="1">
      <alignment horizontal="center" vertical="center"/>
    </xf>
    <xf numFmtId="0" fontId="4" fillId="0" borderId="1" xfId="0" applyFont="1" applyBorder="1" applyAlignment="1">
      <alignment horizontal="center"/>
    </xf>
    <xf numFmtId="0" fontId="0" fillId="0" borderId="0" xfId="0" applyAlignment="1">
      <alignment horizontal="center"/>
    </xf>
    <xf numFmtId="0" fontId="4" fillId="0" borderId="1" xfId="0" applyFont="1" applyBorder="1"/>
    <xf numFmtId="0" fontId="3" fillId="0" borderId="1" xfId="0" applyFont="1" applyBorder="1" applyAlignment="1">
      <alignment horizontal="center"/>
    </xf>
    <xf numFmtId="0" fontId="0" fillId="0" borderId="6" xfId="0" applyBorder="1" applyAlignment="1">
      <alignment horizontal="center"/>
    </xf>
    <xf numFmtId="0" fontId="1" fillId="4" borderId="1" xfId="0" applyFont="1" applyFill="1" applyBorder="1" applyAlignment="1">
      <alignment horizontal="center"/>
    </xf>
    <xf numFmtId="0" fontId="0" fillId="0" borderId="1" xfId="0" applyBorder="1" applyAlignment="1">
      <alignment horizontal="center"/>
    </xf>
    <xf numFmtId="0" fontId="3" fillId="0" borderId="9" xfId="0" applyFont="1" applyBorder="1" applyAlignment="1">
      <alignment horizontal="center"/>
    </xf>
    <xf numFmtId="0" fontId="0" fillId="0" borderId="9" xfId="0" applyBorder="1" applyAlignment="1">
      <alignment horizontal="center"/>
    </xf>
    <xf numFmtId="0" fontId="3" fillId="4" borderId="10" xfId="0" applyFont="1" applyFill="1" applyBorder="1" applyAlignment="1">
      <alignment horizontal="center"/>
    </xf>
    <xf numFmtId="0" fontId="3" fillId="4" borderId="11" xfId="0" applyFont="1" applyFill="1" applyBorder="1" applyAlignment="1">
      <alignment horizontal="center"/>
    </xf>
    <xf numFmtId="0" fontId="3" fillId="4" borderId="12" xfId="0" applyFont="1" applyFill="1" applyBorder="1" applyAlignment="1">
      <alignment horizontal="center"/>
    </xf>
    <xf numFmtId="164" fontId="0" fillId="0" borderId="13" xfId="1" applyNumberFormat="1" applyFont="1" applyFill="1" applyBorder="1" applyAlignment="1">
      <alignment horizontal="center"/>
    </xf>
    <xf numFmtId="164" fontId="0" fillId="4" borderId="1" xfId="1" applyNumberFormat="1" applyFont="1" applyFill="1" applyBorder="1" applyAlignment="1">
      <alignment horizontal="center"/>
    </xf>
    <xf numFmtId="164" fontId="0" fillId="4" borderId="14" xfId="1" applyNumberFormat="1" applyFont="1" applyFill="1" applyBorder="1" applyAlignment="1">
      <alignment horizontal="center"/>
    </xf>
    <xf numFmtId="164" fontId="0" fillId="4" borderId="13" xfId="1" applyNumberFormat="1" applyFont="1" applyFill="1" applyBorder="1" applyAlignment="1">
      <alignment horizontal="center"/>
    </xf>
    <xf numFmtId="164" fontId="0" fillId="4" borderId="15" xfId="1" applyNumberFormat="1" applyFont="1" applyFill="1" applyBorder="1" applyAlignment="1">
      <alignment horizontal="center"/>
    </xf>
    <xf numFmtId="164" fontId="0" fillId="4" borderId="17" xfId="1" applyNumberFormat="1" applyFont="1" applyFill="1" applyBorder="1" applyAlignment="1">
      <alignment horizontal="center"/>
    </xf>
    <xf numFmtId="164" fontId="0" fillId="0" borderId="1" xfId="1" applyNumberFormat="1" applyFont="1" applyFill="1" applyBorder="1" applyAlignment="1">
      <alignment horizontal="center"/>
    </xf>
    <xf numFmtId="164" fontId="0" fillId="0" borderId="16" xfId="1" applyNumberFormat="1" applyFont="1" applyFill="1" applyBorder="1" applyAlignment="1">
      <alignment horizontal="center"/>
    </xf>
    <xf numFmtId="164" fontId="1" fillId="4" borderId="1" xfId="0" applyNumberFormat="1" applyFont="1" applyFill="1" applyBorder="1" applyAlignment="1">
      <alignment horizontal="center"/>
    </xf>
    <xf numFmtId="0" fontId="4" fillId="0" borderId="1" xfId="0" applyFont="1" applyBorder="1" applyAlignment="1">
      <alignment horizontal="center"/>
    </xf>
    <xf numFmtId="0" fontId="0" fillId="0" borderId="1" xfId="0" applyBorder="1" applyAlignment="1">
      <alignment horizontal="center"/>
    </xf>
    <xf numFmtId="0" fontId="0" fillId="0" borderId="1" xfId="0" applyBorder="1"/>
    <xf numFmtId="6" fontId="0" fillId="0" borderId="1" xfId="0" applyNumberFormat="1" applyBorder="1"/>
    <xf numFmtId="6" fontId="0" fillId="0" borderId="1" xfId="0" applyNumberFormat="1" applyBorder="1" applyAlignment="1">
      <alignment horizontal="center"/>
    </xf>
    <xf numFmtId="0" fontId="0" fillId="0" borderId="1" xfId="0" applyFill="1" applyBorder="1" applyAlignment="1">
      <alignment horizontal="center"/>
    </xf>
    <xf numFmtId="6" fontId="0" fillId="0" borderId="1" xfId="0" applyNumberFormat="1" applyFill="1" applyBorder="1" applyAlignment="1">
      <alignment horizontal="center"/>
    </xf>
    <xf numFmtId="165" fontId="0" fillId="0" borderId="1" xfId="0" applyNumberFormat="1" applyBorder="1" applyAlignment="1">
      <alignment horizontal="center"/>
    </xf>
    <xf numFmtId="166" fontId="0" fillId="0" borderId="1" xfId="1" applyNumberFormat="1" applyFont="1" applyBorder="1"/>
    <xf numFmtId="166" fontId="0" fillId="0" borderId="1" xfId="0" applyNumberFormat="1" applyBorder="1" applyAlignment="1">
      <alignment horizontal="center"/>
    </xf>
    <xf numFmtId="166" fontId="0" fillId="0" borderId="0" xfId="0" applyNumberFormat="1" applyBorder="1" applyAlignment="1">
      <alignment horizontal="center"/>
    </xf>
    <xf numFmtId="0" fontId="0" fillId="0" borderId="1" xfId="0" applyFill="1" applyBorder="1" applyAlignment="1">
      <alignment horizontal="center" vertical="center"/>
    </xf>
    <xf numFmtId="9" fontId="3" fillId="2" borderId="1" xfId="2" applyNumberFormat="1" applyFont="1" applyFill="1" applyBorder="1" applyAlignment="1">
      <alignment horizontal="center" vertical="center"/>
    </xf>
    <xf numFmtId="0" fontId="0" fillId="0" borderId="19" xfId="0" applyBorder="1" applyAlignment="1">
      <alignment horizontal="center"/>
    </xf>
    <xf numFmtId="0" fontId="0" fillId="0" borderId="9" xfId="0" applyBorder="1" applyAlignment="1">
      <alignment horizontal="center"/>
    </xf>
    <xf numFmtId="0" fontId="4" fillId="3" borderId="1" xfId="0" applyFont="1" applyFill="1" applyBorder="1" applyAlignment="1">
      <alignment horizontal="center"/>
    </xf>
    <xf numFmtId="0" fontId="0" fillId="3" borderId="1" xfId="0" applyFill="1" applyBorder="1" applyAlignment="1">
      <alignment horizontal="center"/>
    </xf>
    <xf numFmtId="0" fontId="0" fillId="0" borderId="0" xfId="0" applyAlignment="1">
      <alignment horizontal="center" vertical="center"/>
    </xf>
    <xf numFmtId="9" fontId="0" fillId="0" borderId="1" xfId="2" applyFont="1" applyBorder="1" applyAlignment="1">
      <alignment horizontal="center" vertical="center"/>
    </xf>
    <xf numFmtId="6" fontId="0" fillId="0" borderId="1" xfId="0" applyNumberFormat="1" applyBorder="1" applyAlignment="1">
      <alignment horizontal="center" vertical="center"/>
    </xf>
    <xf numFmtId="166" fontId="0" fillId="0" borderId="1" xfId="0" applyNumberFormat="1" applyBorder="1" applyAlignment="1">
      <alignment horizontal="center" vertical="center"/>
    </xf>
    <xf numFmtId="0" fontId="0" fillId="0" borderId="1" xfId="0" applyFill="1" applyBorder="1" applyAlignment="1">
      <alignment horizontal="center"/>
    </xf>
    <xf numFmtId="166" fontId="0" fillId="0" borderId="1" xfId="0" applyNumberFormat="1" applyBorder="1"/>
    <xf numFmtId="167" fontId="0" fillId="0" borderId="1" xfId="2" applyNumberFormat="1" applyFont="1" applyBorder="1" applyAlignment="1">
      <alignment horizontal="center"/>
    </xf>
    <xf numFmtId="10" fontId="0" fillId="0" borderId="1" xfId="2" applyNumberFormat="1" applyFont="1" applyBorder="1" applyAlignment="1">
      <alignment horizontal="center"/>
    </xf>
    <xf numFmtId="0" fontId="0" fillId="0" borderId="0" xfId="0" applyAlignment="1">
      <alignment horizontal="center" wrapText="1"/>
    </xf>
    <xf numFmtId="0" fontId="0" fillId="0" borderId="9" xfId="0" applyBorder="1" applyAlignment="1">
      <alignment horizontal="center" vertical="center"/>
    </xf>
    <xf numFmtId="165" fontId="0" fillId="0" borderId="1" xfId="0" applyNumberFormat="1" applyBorder="1" applyAlignment="1">
      <alignment horizontal="center" vertical="center"/>
    </xf>
    <xf numFmtId="166" fontId="3" fillId="2" borderId="1" xfId="0" applyNumberFormat="1" applyFont="1" applyFill="1" applyBorder="1" applyAlignment="1">
      <alignment horizontal="center"/>
    </xf>
    <xf numFmtId="165" fontId="3" fillId="2" borderId="1" xfId="0" applyNumberFormat="1" applyFont="1" applyFill="1" applyBorder="1" applyAlignment="1">
      <alignment horizontal="center"/>
    </xf>
    <xf numFmtId="166" fontId="3" fillId="2" borderId="1" xfId="0" applyNumberFormat="1" applyFont="1" applyFill="1" applyBorder="1" applyAlignment="1">
      <alignment horizontal="center" vertical="center"/>
    </xf>
    <xf numFmtId="165" fontId="3" fillId="2" borderId="1" xfId="0" applyNumberFormat="1" applyFont="1" applyFill="1" applyBorder="1" applyAlignment="1">
      <alignment horizontal="center" vertical="center"/>
    </xf>
    <xf numFmtId="9" fontId="0" fillId="0" borderId="1" xfId="0" applyNumberFormat="1" applyBorder="1"/>
    <xf numFmtId="0" fontId="3" fillId="2" borderId="1" xfId="0" applyFont="1" applyFill="1" applyBorder="1" applyAlignment="1">
      <alignment horizontal="center"/>
    </xf>
    <xf numFmtId="0" fontId="3" fillId="2" borderId="1" xfId="0" applyNumberFormat="1" applyFont="1" applyFill="1" applyBorder="1" applyAlignment="1">
      <alignment horizontal="center"/>
    </xf>
    <xf numFmtId="166" fontId="3" fillId="0" borderId="1" xfId="0" applyNumberFormat="1" applyFont="1" applyBorder="1" applyAlignment="1">
      <alignment horizontal="center"/>
    </xf>
    <xf numFmtId="2" fontId="0" fillId="0" borderId="1" xfId="0" applyNumberFormat="1" applyBorder="1" applyAlignment="1">
      <alignment horizontal="center"/>
    </xf>
    <xf numFmtId="166" fontId="0" fillId="0" borderId="1" xfId="0" applyNumberFormat="1" applyFont="1" applyBorder="1" applyAlignment="1">
      <alignment horizontal="center"/>
    </xf>
    <xf numFmtId="0" fontId="4" fillId="0" borderId="1" xfId="0" applyFont="1" applyFill="1" applyBorder="1"/>
    <xf numFmtId="0" fontId="4" fillId="0" borderId="6" xfId="0" applyFont="1" applyBorder="1"/>
    <xf numFmtId="0" fontId="4" fillId="0" borderId="19" xfId="0" applyFont="1" applyBorder="1"/>
    <xf numFmtId="166" fontId="0" fillId="0" borderId="19" xfId="0" applyNumberFormat="1" applyBorder="1" applyAlignment="1">
      <alignment horizontal="center"/>
    </xf>
    <xf numFmtId="164" fontId="0" fillId="0" borderId="0" xfId="1" applyNumberFormat="1" applyFont="1" applyFill="1" applyBorder="1" applyAlignment="1">
      <alignment horizontal="center"/>
    </xf>
    <xf numFmtId="0" fontId="4" fillId="0" borderId="20" xfId="0" applyFont="1" applyFill="1" applyBorder="1"/>
    <xf numFmtId="166" fontId="0" fillId="0" borderId="20" xfId="0" applyNumberFormat="1" applyFill="1" applyBorder="1" applyAlignment="1">
      <alignment horizontal="center"/>
    </xf>
    <xf numFmtId="0" fontId="0" fillId="0" borderId="20" xfId="0" applyFill="1" applyBorder="1" applyAlignment="1">
      <alignment horizontal="center"/>
    </xf>
    <xf numFmtId="0" fontId="4" fillId="0" borderId="1" xfId="0" applyFont="1" applyFill="1" applyBorder="1" applyAlignment="1">
      <alignment horizontal="center"/>
    </xf>
    <xf numFmtId="0" fontId="4" fillId="0" borderId="6" xfId="0" applyFont="1" applyFill="1" applyBorder="1"/>
    <xf numFmtId="166" fontId="3" fillId="0" borderId="6" xfId="0" applyNumberFormat="1" applyFont="1" applyBorder="1" applyAlignment="1">
      <alignment horizontal="center"/>
    </xf>
    <xf numFmtId="0" fontId="3" fillId="0" borderId="6" xfId="0" applyFont="1" applyBorder="1" applyAlignment="1">
      <alignment horizontal="center"/>
    </xf>
    <xf numFmtId="0" fontId="3" fillId="0" borderId="2" xfId="0" applyFont="1" applyBorder="1" applyAlignment="1">
      <alignment horizontal="center"/>
    </xf>
    <xf numFmtId="166" fontId="0" fillId="0" borderId="9" xfId="0" applyNumberFormat="1" applyBorder="1" applyAlignment="1">
      <alignment horizontal="center"/>
    </xf>
    <xf numFmtId="0" fontId="0" fillId="0" borderId="9" xfId="0" applyBorder="1"/>
    <xf numFmtId="0" fontId="3" fillId="4" borderId="22" xfId="0" applyFont="1" applyFill="1" applyBorder="1" applyAlignment="1">
      <alignment horizontal="center"/>
    </xf>
    <xf numFmtId="0" fontId="3" fillId="4" borderId="23" xfId="0" applyFont="1" applyFill="1" applyBorder="1" applyAlignment="1">
      <alignment horizontal="center"/>
    </xf>
    <xf numFmtId="0" fontId="3" fillId="4" borderId="24" xfId="0" applyFont="1" applyFill="1" applyBorder="1" applyAlignment="1">
      <alignment horizontal="center"/>
    </xf>
    <xf numFmtId="164" fontId="0" fillId="0" borderId="11" xfId="1" applyNumberFormat="1" applyFont="1" applyFill="1" applyBorder="1" applyAlignment="1">
      <alignment horizontal="center"/>
    </xf>
    <xf numFmtId="9" fontId="0" fillId="0" borderId="1" xfId="0" applyNumberFormat="1" applyFill="1" applyBorder="1" applyAlignment="1">
      <alignment horizontal="center"/>
    </xf>
    <xf numFmtId="165" fontId="0" fillId="0" borderId="12" xfId="1" applyNumberFormat="1" applyFont="1" applyFill="1" applyBorder="1" applyAlignment="1">
      <alignment horizontal="center"/>
    </xf>
    <xf numFmtId="165" fontId="0" fillId="0" borderId="14" xfId="1" applyNumberFormat="1" applyFont="1" applyFill="1" applyBorder="1" applyAlignment="1">
      <alignment horizontal="center"/>
    </xf>
    <xf numFmtId="165" fontId="0" fillId="0" borderId="17" xfId="1" applyNumberFormat="1" applyFont="1" applyFill="1" applyBorder="1" applyAlignment="1">
      <alignment horizontal="center"/>
    </xf>
    <xf numFmtId="166" fontId="0" fillId="0" borderId="10" xfId="1" applyNumberFormat="1" applyFont="1" applyFill="1" applyBorder="1" applyAlignment="1">
      <alignment horizontal="center"/>
    </xf>
    <xf numFmtId="166" fontId="0" fillId="0" borderId="11" xfId="1" applyNumberFormat="1" applyFont="1" applyFill="1" applyBorder="1" applyAlignment="1">
      <alignment horizontal="center"/>
    </xf>
    <xf numFmtId="166" fontId="0" fillId="0" borderId="12" xfId="1" applyNumberFormat="1" applyFont="1" applyFill="1" applyBorder="1" applyAlignment="1">
      <alignment horizontal="center"/>
    </xf>
    <xf numFmtId="166" fontId="0" fillId="0" borderId="13" xfId="1" applyNumberFormat="1" applyFont="1" applyFill="1" applyBorder="1" applyAlignment="1">
      <alignment horizontal="center"/>
    </xf>
    <xf numFmtId="166" fontId="0" fillId="0" borderId="1" xfId="1" applyNumberFormat="1" applyFont="1" applyFill="1" applyBorder="1" applyAlignment="1">
      <alignment horizontal="center"/>
    </xf>
    <xf numFmtId="166" fontId="0" fillId="0" borderId="14" xfId="1" applyNumberFormat="1" applyFont="1" applyFill="1" applyBorder="1" applyAlignment="1">
      <alignment horizontal="center"/>
    </xf>
    <xf numFmtId="166" fontId="0" fillId="0" borderId="15" xfId="1" applyNumberFormat="1" applyFont="1" applyFill="1" applyBorder="1" applyAlignment="1">
      <alignment horizontal="center"/>
    </xf>
    <xf numFmtId="166" fontId="0" fillId="0" borderId="16" xfId="1" applyNumberFormat="1" applyFont="1" applyFill="1" applyBorder="1" applyAlignment="1">
      <alignment horizontal="center"/>
    </xf>
    <xf numFmtId="166" fontId="0" fillId="0" borderId="17" xfId="1" applyNumberFormat="1" applyFont="1" applyFill="1" applyBorder="1" applyAlignment="1">
      <alignment horizontal="center"/>
    </xf>
    <xf numFmtId="168" fontId="0" fillId="0" borderId="1" xfId="0" applyNumberFormat="1" applyBorder="1" applyAlignment="1">
      <alignment horizontal="center"/>
    </xf>
    <xf numFmtId="166" fontId="3" fillId="0" borderId="25" xfId="0" applyNumberFormat="1" applyFont="1" applyBorder="1" applyAlignment="1">
      <alignment horizontal="center"/>
    </xf>
    <xf numFmtId="166" fontId="3" fillId="0" borderId="26" xfId="0" applyNumberFormat="1" applyFont="1" applyBorder="1" applyAlignment="1">
      <alignment horizontal="center"/>
    </xf>
    <xf numFmtId="166" fontId="3" fillId="0" borderId="27" xfId="0" applyNumberFormat="1" applyFont="1" applyBorder="1" applyAlignment="1">
      <alignment horizontal="center"/>
    </xf>
    <xf numFmtId="165" fontId="0" fillId="0" borderId="6" xfId="0" applyNumberFormat="1" applyBorder="1"/>
    <xf numFmtId="9" fontId="0" fillId="0" borderId="1" xfId="0" applyNumberFormat="1" applyBorder="1" applyAlignment="1">
      <alignment horizontal="center"/>
    </xf>
    <xf numFmtId="9" fontId="0" fillId="0" borderId="6" xfId="0" applyNumberFormat="1" applyBorder="1" applyAlignment="1">
      <alignment horizontal="center"/>
    </xf>
    <xf numFmtId="0" fontId="0" fillId="0" borderId="19" xfId="0" applyBorder="1"/>
    <xf numFmtId="2" fontId="4" fillId="0" borderId="1" xfId="0" applyNumberFormat="1" applyFon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wrapText="1"/>
    </xf>
    <xf numFmtId="0" fontId="0" fillId="0" borderId="9" xfId="0" applyBorder="1" applyAlignment="1">
      <alignment horizontal="center"/>
    </xf>
    <xf numFmtId="0" fontId="0" fillId="3" borderId="0" xfId="0" applyFill="1" applyAlignment="1">
      <alignment wrapText="1"/>
    </xf>
    <xf numFmtId="0" fontId="0" fillId="0" borderId="0" xfId="0" applyAlignment="1"/>
    <xf numFmtId="0" fontId="0" fillId="3" borderId="0" xfId="0" applyFill="1"/>
    <xf numFmtId="9" fontId="0" fillId="3" borderId="1" xfId="0" applyNumberFormat="1" applyFill="1" applyBorder="1" applyAlignment="1">
      <alignment horizontal="center"/>
    </xf>
    <xf numFmtId="0" fontId="0" fillId="0" borderId="1" xfId="0" applyNumberFormat="1" applyBorder="1" applyAlignment="1">
      <alignment horizontal="center"/>
    </xf>
    <xf numFmtId="166" fontId="0" fillId="0" borderId="6" xfId="0" applyNumberFormat="1" applyBorder="1" applyAlignment="1">
      <alignment horizontal="center"/>
    </xf>
    <xf numFmtId="0" fontId="4" fillId="0" borderId="7" xfId="0" applyFont="1" applyFill="1" applyBorder="1"/>
    <xf numFmtId="0" fontId="0" fillId="0" borderId="7" xfId="0" applyBorder="1" applyAlignment="1">
      <alignment horizontal="center"/>
    </xf>
    <xf numFmtId="166" fontId="0" fillId="0" borderId="7" xfId="0" applyNumberFormat="1" applyBorder="1" applyAlignment="1">
      <alignment horizontal="center"/>
    </xf>
    <xf numFmtId="0" fontId="0" fillId="0" borderId="9" xfId="0" applyNumberFormat="1" applyBorder="1" applyAlignment="1">
      <alignment horizontal="center"/>
    </xf>
    <xf numFmtId="166" fontId="0" fillId="0" borderId="2" xfId="0" applyNumberFormat="1" applyBorder="1" applyAlignment="1">
      <alignment horizontal="center"/>
    </xf>
    <xf numFmtId="166" fontId="0" fillId="0" borderId="13" xfId="0" applyNumberFormat="1" applyBorder="1" applyAlignment="1">
      <alignment horizontal="center"/>
    </xf>
    <xf numFmtId="166" fontId="0" fillId="0" borderId="14" xfId="0" applyNumberFormat="1" applyBorder="1" applyAlignment="1">
      <alignment horizontal="center"/>
    </xf>
    <xf numFmtId="165" fontId="0" fillId="0" borderId="13" xfId="0" applyNumberFormat="1" applyBorder="1" applyAlignment="1">
      <alignment horizontal="center"/>
    </xf>
    <xf numFmtId="165" fontId="0" fillId="0" borderId="14" xfId="0" applyNumberFormat="1" applyBorder="1" applyAlignment="1">
      <alignment horizontal="center"/>
    </xf>
    <xf numFmtId="165" fontId="0" fillId="0" borderId="16" xfId="0" applyNumberFormat="1" applyBorder="1" applyAlignment="1">
      <alignment horizontal="center"/>
    </xf>
    <xf numFmtId="166" fontId="0" fillId="0" borderId="16" xfId="0" applyNumberFormat="1" applyBorder="1" applyAlignment="1">
      <alignment horizontal="center"/>
    </xf>
    <xf numFmtId="166" fontId="0" fillId="0" borderId="17" xfId="0" applyNumberFormat="1" applyBorder="1" applyAlignment="1">
      <alignment horizontal="center"/>
    </xf>
    <xf numFmtId="166" fontId="0" fillId="0" borderId="25" xfId="0" applyNumberFormat="1" applyBorder="1" applyAlignment="1">
      <alignment horizontal="center"/>
    </xf>
    <xf numFmtId="166" fontId="0" fillId="0" borderId="26" xfId="0" applyNumberFormat="1" applyBorder="1" applyAlignment="1">
      <alignment horizontal="center"/>
    </xf>
    <xf numFmtId="166" fontId="0" fillId="0" borderId="27" xfId="0" applyNumberFormat="1" applyBorder="1" applyAlignment="1">
      <alignment horizontal="center"/>
    </xf>
    <xf numFmtId="166" fontId="0" fillId="0" borderId="10" xfId="0" applyNumberFormat="1" applyBorder="1" applyAlignment="1">
      <alignment horizontal="center"/>
    </xf>
    <xf numFmtId="166" fontId="0" fillId="0" borderId="11" xfId="0" applyNumberFormat="1" applyBorder="1" applyAlignment="1">
      <alignment horizontal="center"/>
    </xf>
    <xf numFmtId="166" fontId="0" fillId="0" borderId="12" xfId="0" applyNumberFormat="1" applyBorder="1" applyAlignment="1">
      <alignment horizontal="center"/>
    </xf>
    <xf numFmtId="166" fontId="0" fillId="0" borderId="15" xfId="0" applyNumberFormat="1" applyBorder="1" applyAlignment="1">
      <alignment horizontal="center"/>
    </xf>
    <xf numFmtId="0" fontId="0" fillId="0" borderId="0" xfId="0" applyFill="1" applyBorder="1" applyAlignment="1"/>
    <xf numFmtId="0" fontId="0" fillId="0" borderId="0" xfId="0" applyFill="1" applyBorder="1" applyAlignment="1">
      <alignment horizontal="center"/>
    </xf>
    <xf numFmtId="0" fontId="0" fillId="0" borderId="0" xfId="0" applyFill="1" applyBorder="1"/>
    <xf numFmtId="166" fontId="0" fillId="0" borderId="0" xfId="0" applyNumberFormat="1" applyFill="1" applyBorder="1" applyAlignment="1">
      <alignment horizontal="center"/>
    </xf>
    <xf numFmtId="165" fontId="0" fillId="0" borderId="0" xfId="0" applyNumberFormat="1" applyFill="1" applyBorder="1" applyAlignment="1">
      <alignment horizontal="center"/>
    </xf>
    <xf numFmtId="166" fontId="0" fillId="0" borderId="1" xfId="0" applyNumberFormat="1" applyFill="1" applyBorder="1" applyAlignment="1">
      <alignment horizontal="center"/>
    </xf>
    <xf numFmtId="1" fontId="0" fillId="0" borderId="1" xfId="0" applyNumberFormat="1" applyFont="1" applyFill="1" applyBorder="1" applyAlignment="1">
      <alignment horizontal="center"/>
    </xf>
    <xf numFmtId="166" fontId="4" fillId="0" borderId="1" xfId="0" applyNumberFormat="1" applyFont="1" applyFill="1" applyBorder="1" applyAlignment="1">
      <alignment horizontal="center"/>
    </xf>
    <xf numFmtId="165" fontId="0" fillId="0" borderId="1" xfId="0" applyNumberFormat="1" applyFill="1" applyBorder="1" applyAlignment="1">
      <alignment horizontal="center"/>
    </xf>
    <xf numFmtId="169" fontId="0" fillId="0" borderId="0" xfId="0" applyNumberFormat="1" applyFill="1" applyBorder="1" applyAlignment="1"/>
    <xf numFmtId="165" fontId="1" fillId="2" borderId="1" xfId="0" applyNumberFormat="1" applyFont="1" applyFill="1" applyBorder="1" applyAlignment="1">
      <alignment horizontal="center"/>
    </xf>
    <xf numFmtId="165" fontId="0" fillId="0" borderId="15" xfId="0" applyNumberFormat="1" applyBorder="1" applyAlignment="1">
      <alignment horizontal="center"/>
    </xf>
    <xf numFmtId="165" fontId="0" fillId="0" borderId="25" xfId="0" applyNumberFormat="1" applyBorder="1" applyAlignment="1">
      <alignment horizontal="center"/>
    </xf>
    <xf numFmtId="165" fontId="0" fillId="0" borderId="26" xfId="0" applyNumberFormat="1" applyBorder="1" applyAlignment="1">
      <alignment horizontal="center"/>
    </xf>
    <xf numFmtId="165" fontId="0" fillId="0" borderId="27" xfId="0" applyNumberFormat="1" applyBorder="1" applyAlignment="1">
      <alignment horizontal="center"/>
    </xf>
    <xf numFmtId="0" fontId="4" fillId="0" borderId="28" xfId="0" applyFont="1" applyBorder="1" applyAlignment="1">
      <alignment wrapText="1"/>
    </xf>
    <xf numFmtId="0" fontId="4" fillId="0" borderId="29" xfId="0" applyFont="1" applyFill="1" applyBorder="1" applyAlignment="1">
      <alignment horizontal="center"/>
    </xf>
    <xf numFmtId="9" fontId="0" fillId="0" borderId="1" xfId="2" applyNumberFormat="1" applyFont="1" applyBorder="1" applyAlignment="1">
      <alignment horizontal="center"/>
    </xf>
    <xf numFmtId="166" fontId="0" fillId="0" borderId="0" xfId="0" applyNumberFormat="1" applyAlignment="1">
      <alignment horizontal="center"/>
    </xf>
    <xf numFmtId="165" fontId="0" fillId="0" borderId="0" xfId="0" applyNumberFormat="1"/>
    <xf numFmtId="0" fontId="0" fillId="0" borderId="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166" fontId="0" fillId="0" borderId="30" xfId="0" applyNumberFormat="1" applyBorder="1" applyAlignment="1">
      <alignment horizontal="center"/>
    </xf>
    <xf numFmtId="166" fontId="0" fillId="0" borderId="31" xfId="0" applyNumberFormat="1" applyBorder="1" applyAlignment="1">
      <alignment horizontal="center"/>
    </xf>
    <xf numFmtId="0" fontId="0" fillId="2" borderId="1" xfId="0" applyFill="1" applyBorder="1" applyAlignment="1">
      <alignment horizontal="center"/>
    </xf>
    <xf numFmtId="166" fontId="0" fillId="2" borderId="1" xfId="0" applyNumberFormat="1" applyFont="1" applyFill="1" applyBorder="1" applyAlignment="1">
      <alignment horizontal="center"/>
    </xf>
    <xf numFmtId="0" fontId="3" fillId="2" borderId="9" xfId="0" applyFont="1" applyFill="1" applyBorder="1" applyAlignment="1">
      <alignment horizontal="center"/>
    </xf>
    <xf numFmtId="0" fontId="0" fillId="2" borderId="1" xfId="0" applyFill="1" applyBorder="1"/>
    <xf numFmtId="0" fontId="0" fillId="2" borderId="9" xfId="0" applyFill="1" applyBorder="1" applyAlignment="1">
      <alignment horizontal="center"/>
    </xf>
    <xf numFmtId="166" fontId="0" fillId="2" borderId="1" xfId="0" applyNumberFormat="1" applyFill="1" applyBorder="1" applyAlignment="1">
      <alignment horizontal="center"/>
    </xf>
    <xf numFmtId="0" fontId="4" fillId="0" borderId="1" xfId="0" applyFont="1" applyBorder="1" applyAlignment="1">
      <alignment horizontal="center"/>
    </xf>
    <xf numFmtId="0" fontId="0" fillId="0" borderId="1" xfId="0" applyFill="1" applyBorder="1" applyAlignment="1">
      <alignment horizontal="center"/>
    </xf>
    <xf numFmtId="0" fontId="0" fillId="0" borderId="1" xfId="0" applyBorder="1" applyAlignment="1">
      <alignment horizontal="center"/>
    </xf>
    <xf numFmtId="0" fontId="0" fillId="0" borderId="9" xfId="0" applyBorder="1" applyAlignment="1">
      <alignment horizontal="center"/>
    </xf>
    <xf numFmtId="0" fontId="4" fillId="0" borderId="1" xfId="0" applyFont="1" applyFill="1" applyBorder="1" applyAlignment="1">
      <alignment horizontal="center"/>
    </xf>
    <xf numFmtId="0" fontId="4" fillId="2" borderId="1" xfId="0" applyFont="1" applyFill="1" applyBorder="1" applyAlignment="1">
      <alignment horizontal="center"/>
    </xf>
    <xf numFmtId="165" fontId="0" fillId="2" borderId="13" xfId="0" applyNumberFormat="1" applyFill="1" applyBorder="1" applyAlignment="1">
      <alignment horizontal="center"/>
    </xf>
    <xf numFmtId="165" fontId="0" fillId="2" borderId="14" xfId="0" applyNumberFormat="1" applyFill="1" applyBorder="1" applyAlignment="1">
      <alignment horizontal="center"/>
    </xf>
    <xf numFmtId="165" fontId="0" fillId="2" borderId="1" xfId="0" applyNumberFormat="1" applyFill="1" applyBorder="1" applyAlignment="1">
      <alignment horizontal="center"/>
    </xf>
    <xf numFmtId="0" fontId="4" fillId="2" borderId="1" xfId="0" applyFont="1" applyFill="1" applyBorder="1"/>
    <xf numFmtId="0" fontId="0" fillId="2" borderId="9" xfId="0" applyFill="1" applyBorder="1"/>
    <xf numFmtId="0" fontId="4" fillId="2" borderId="19" xfId="0" applyFont="1" applyFill="1" applyBorder="1" applyAlignment="1">
      <alignment horizontal="center"/>
    </xf>
    <xf numFmtId="166" fontId="3" fillId="2" borderId="19" xfId="0" applyNumberFormat="1" applyFont="1" applyFill="1" applyBorder="1" applyAlignment="1">
      <alignment horizontal="center"/>
    </xf>
    <xf numFmtId="166" fontId="0" fillId="2" borderId="19" xfId="0" applyNumberFormat="1" applyFill="1" applyBorder="1" applyAlignment="1">
      <alignment horizontal="center"/>
    </xf>
    <xf numFmtId="0" fontId="0" fillId="2" borderId="19" xfId="0" applyFill="1" applyBorder="1" applyAlignment="1">
      <alignment horizontal="center"/>
    </xf>
    <xf numFmtId="0" fontId="0" fillId="2" borderId="4" xfId="0" applyFill="1" applyBorder="1" applyAlignment="1">
      <alignment horizontal="center"/>
    </xf>
    <xf numFmtId="170" fontId="0" fillId="0" borderId="0" xfId="0" applyNumberFormat="1"/>
    <xf numFmtId="166" fontId="0" fillId="0" borderId="32" xfId="0" applyNumberFormat="1" applyBorder="1" applyAlignment="1">
      <alignment horizontal="center"/>
    </xf>
    <xf numFmtId="165" fontId="0" fillId="0" borderId="33" xfId="0" applyNumberFormat="1" applyBorder="1" applyAlignment="1">
      <alignment horizontal="center"/>
    </xf>
    <xf numFmtId="165" fontId="0" fillId="0" borderId="34" xfId="0" applyNumberFormat="1" applyBorder="1" applyAlignment="1">
      <alignment horizontal="center"/>
    </xf>
    <xf numFmtId="0" fontId="0" fillId="0" borderId="16" xfId="0" applyBorder="1" applyAlignment="1">
      <alignment horizontal="center"/>
    </xf>
    <xf numFmtId="165" fontId="0" fillId="0" borderId="1" xfId="0" applyNumberFormat="1" applyBorder="1"/>
    <xf numFmtId="166" fontId="0" fillId="0" borderId="0" xfId="0" applyNumberFormat="1"/>
    <xf numFmtId="0" fontId="0" fillId="0" borderId="9" xfId="0" applyFill="1" applyBorder="1" applyAlignment="1">
      <alignment horizontal="center"/>
    </xf>
    <xf numFmtId="0" fontId="0" fillId="2" borderId="6" xfId="0" applyFill="1" applyBorder="1" applyAlignment="1">
      <alignment horizontal="center"/>
    </xf>
    <xf numFmtId="166" fontId="3" fillId="2" borderId="6" xfId="0" applyNumberFormat="1" applyFont="1" applyFill="1" applyBorder="1" applyAlignment="1">
      <alignment horizontal="center"/>
    </xf>
    <xf numFmtId="166" fontId="0" fillId="0" borderId="6" xfId="0" applyNumberFormat="1" applyFont="1" applyBorder="1" applyAlignment="1">
      <alignment horizontal="center"/>
    </xf>
    <xf numFmtId="0" fontId="3" fillId="2" borderId="6" xfId="0" applyFont="1" applyFill="1" applyBorder="1" applyAlignment="1">
      <alignment horizontal="center"/>
    </xf>
    <xf numFmtId="0" fontId="0" fillId="2" borderId="2" xfId="0" applyFont="1" applyFill="1" applyBorder="1" applyAlignment="1">
      <alignment horizontal="center"/>
    </xf>
    <xf numFmtId="166" fontId="1" fillId="0" borderId="19" xfId="0" applyNumberFormat="1" applyFont="1" applyBorder="1" applyAlignment="1">
      <alignment horizontal="center"/>
    </xf>
    <xf numFmtId="0" fontId="0" fillId="0" borderId="4" xfId="0" applyBorder="1" applyAlignment="1">
      <alignment horizontal="center"/>
    </xf>
    <xf numFmtId="0" fontId="0" fillId="0" borderId="20" xfId="0" applyBorder="1" applyAlignment="1">
      <alignment horizontal="center"/>
    </xf>
    <xf numFmtId="166" fontId="0" fillId="0" borderId="20" xfId="0" applyNumberFormat="1" applyBorder="1" applyAlignment="1">
      <alignment horizontal="center"/>
    </xf>
    <xf numFmtId="165" fontId="0" fillId="0" borderId="6" xfId="0" applyNumberFormat="1" applyBorder="1" applyAlignment="1">
      <alignment horizontal="center"/>
    </xf>
    <xf numFmtId="166" fontId="0" fillId="0" borderId="19" xfId="0" applyNumberFormat="1" applyFill="1" applyBorder="1" applyAlignment="1">
      <alignment horizontal="center"/>
    </xf>
    <xf numFmtId="0" fontId="0" fillId="0" borderId="19" xfId="0" applyFill="1" applyBorder="1" applyAlignment="1">
      <alignment horizontal="center"/>
    </xf>
    <xf numFmtId="0" fontId="0" fillId="0" borderId="4" xfId="0" applyFill="1" applyBorder="1" applyAlignment="1">
      <alignment horizontal="center"/>
    </xf>
    <xf numFmtId="0" fontId="0" fillId="0" borderId="20" xfId="0" applyFill="1" applyBorder="1" applyAlignment="1"/>
    <xf numFmtId="165" fontId="0" fillId="0" borderId="20" xfId="0" applyNumberFormat="1" applyFill="1" applyBorder="1"/>
    <xf numFmtId="166" fontId="0" fillId="0" borderId="9" xfId="0" applyNumberFormat="1" applyFill="1" applyBorder="1" applyAlignment="1">
      <alignment horizontal="center"/>
    </xf>
    <xf numFmtId="165" fontId="0" fillId="0" borderId="9" xfId="0" applyNumberFormat="1" applyFill="1" applyBorder="1" applyAlignment="1">
      <alignment horizontal="center"/>
    </xf>
    <xf numFmtId="165" fontId="0" fillId="0" borderId="0" xfId="0" applyNumberFormat="1" applyAlignment="1">
      <alignment horizontal="center"/>
    </xf>
    <xf numFmtId="165" fontId="0" fillId="0" borderId="0" xfId="0" applyNumberFormat="1" applyAlignment="1"/>
    <xf numFmtId="165" fontId="0" fillId="3" borderId="1" xfId="0" applyNumberFormat="1" applyFill="1" applyBorder="1"/>
    <xf numFmtId="165" fontId="0" fillId="3" borderId="1" xfId="0" applyNumberFormat="1" applyFill="1" applyBorder="1" applyAlignment="1"/>
    <xf numFmtId="165" fontId="0" fillId="0" borderId="20" xfId="0" applyNumberFormat="1" applyBorder="1" applyAlignment="1">
      <alignment horizontal="center"/>
    </xf>
    <xf numFmtId="165" fontId="0" fillId="3" borderId="1" xfId="0" applyNumberFormat="1" applyFill="1" applyBorder="1" applyAlignment="1">
      <alignment horizontal="center"/>
    </xf>
    <xf numFmtId="165" fontId="0" fillId="5" borderId="19" xfId="0" applyNumberFormat="1" applyFill="1" applyBorder="1"/>
    <xf numFmtId="0" fontId="3" fillId="0" borderId="0" xfId="0" applyFont="1" applyAlignment="1">
      <alignment horizontal="right"/>
    </xf>
    <xf numFmtId="165" fontId="0" fillId="5" borderId="1" xfId="0" applyNumberFormat="1" applyFill="1" applyBorder="1" applyAlignment="1">
      <alignment horizontal="center"/>
    </xf>
    <xf numFmtId="0" fontId="0" fillId="0" borderId="1" xfId="0" applyFill="1" applyBorder="1" applyAlignment="1"/>
    <xf numFmtId="0" fontId="0" fillId="0" borderId="0" xfId="0" applyFill="1" applyBorder="1" applyAlignment="1">
      <alignment horizontal="center" wrapText="1"/>
    </xf>
    <xf numFmtId="0" fontId="0" fillId="0" borderId="12" xfId="0" applyBorder="1" applyAlignment="1">
      <alignment horizontal="center"/>
    </xf>
    <xf numFmtId="0" fontId="0" fillId="0" borderId="17" xfId="0" applyBorder="1" applyAlignment="1">
      <alignment horizontal="center"/>
    </xf>
    <xf numFmtId="165" fontId="0" fillId="0" borderId="13" xfId="0" applyNumberFormat="1" applyFill="1" applyBorder="1" applyAlignment="1">
      <alignment horizontal="center"/>
    </xf>
    <xf numFmtId="165" fontId="0" fillId="0" borderId="14" xfId="0" applyNumberFormat="1" applyFill="1" applyBorder="1" applyAlignment="1">
      <alignment horizontal="center"/>
    </xf>
    <xf numFmtId="0" fontId="0" fillId="0" borderId="0" xfId="0" applyFill="1"/>
    <xf numFmtId="0" fontId="4" fillId="0" borderId="0" xfId="0" applyFont="1" applyFill="1"/>
    <xf numFmtId="165" fontId="0" fillId="5" borderId="1" xfId="0" applyNumberFormat="1" applyFill="1" applyBorder="1"/>
    <xf numFmtId="0" fontId="4" fillId="0" borderId="28" xfId="0" applyFont="1" applyBorder="1" applyAlignment="1">
      <alignment horizontal="right" wrapText="1"/>
    </xf>
    <xf numFmtId="1" fontId="0" fillId="0" borderId="0" xfId="0" applyNumberFormat="1" applyAlignment="1">
      <alignment horizontal="center"/>
    </xf>
    <xf numFmtId="165" fontId="3" fillId="0" borderId="1" xfId="0" applyNumberFormat="1" applyFont="1" applyBorder="1" applyAlignment="1">
      <alignment horizontal="center"/>
    </xf>
    <xf numFmtId="1" fontId="3" fillId="0" borderId="1" xfId="0" applyNumberFormat="1" applyFont="1" applyBorder="1" applyAlignment="1">
      <alignment horizontal="center"/>
    </xf>
    <xf numFmtId="1" fontId="3" fillId="0" borderId="9" xfId="0" applyNumberFormat="1" applyFont="1" applyBorder="1" applyAlignment="1">
      <alignment horizontal="center"/>
    </xf>
    <xf numFmtId="1" fontId="0" fillId="0" borderId="9" xfId="0" applyNumberFormat="1" applyBorder="1" applyAlignment="1">
      <alignment horizontal="center"/>
    </xf>
    <xf numFmtId="165" fontId="0" fillId="0" borderId="9" xfId="0" applyNumberFormat="1" applyBorder="1" applyAlignment="1">
      <alignment horizontal="center"/>
    </xf>
    <xf numFmtId="165" fontId="0" fillId="0" borderId="17" xfId="0" applyNumberFormat="1" applyBorder="1" applyAlignment="1">
      <alignment horizontal="center"/>
    </xf>
    <xf numFmtId="165" fontId="0" fillId="0" borderId="36" xfId="0" applyNumberFormat="1" applyFill="1" applyBorder="1" applyAlignment="1">
      <alignment horizontal="center"/>
    </xf>
    <xf numFmtId="165" fontId="0" fillId="0" borderId="37" xfId="0" applyNumberFormat="1" applyFill="1" applyBorder="1" applyAlignment="1">
      <alignment horizontal="center"/>
    </xf>
    <xf numFmtId="165" fontId="0" fillId="0" borderId="38" xfId="0" applyNumberFormat="1" applyFill="1" applyBorder="1" applyAlignment="1">
      <alignment horizontal="center"/>
    </xf>
    <xf numFmtId="165" fontId="0" fillId="5" borderId="1" xfId="0" applyNumberFormat="1" applyFill="1" applyBorder="1" applyAlignment="1"/>
    <xf numFmtId="0" fontId="0" fillId="5" borderId="1" xfId="0" applyFill="1" applyBorder="1" applyAlignment="1">
      <alignment horizontal="center"/>
    </xf>
    <xf numFmtId="10" fontId="0" fillId="0" borderId="7" xfId="2" applyNumberFormat="1" applyFont="1" applyBorder="1" applyAlignment="1">
      <alignment horizontal="center"/>
    </xf>
    <xf numFmtId="0" fontId="0" fillId="0" borderId="18" xfId="0" applyBorder="1" applyAlignment="1"/>
    <xf numFmtId="0" fontId="0" fillId="0" borderId="31" xfId="0" applyBorder="1" applyAlignment="1">
      <alignment horizontal="center"/>
    </xf>
    <xf numFmtId="0" fontId="0" fillId="0" borderId="39" xfId="0"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3" borderId="0" xfId="0" applyFill="1" applyAlignment="1">
      <alignment horizontal="left" wrapText="1"/>
    </xf>
    <xf numFmtId="0" fontId="3" fillId="0" borderId="1" xfId="0" applyFont="1" applyBorder="1" applyAlignment="1">
      <alignment horizontal="center" vertical="center"/>
    </xf>
    <xf numFmtId="0" fontId="0" fillId="0" borderId="0" xfId="0" applyFill="1" applyAlignment="1">
      <alignment horizontal="center" wrapText="1"/>
    </xf>
    <xf numFmtId="0" fontId="1" fillId="0" borderId="8" xfId="0" applyFont="1" applyBorder="1" applyAlignment="1">
      <alignment horizontal="left"/>
    </xf>
    <xf numFmtId="0" fontId="1" fillId="0" borderId="0" xfId="0" applyFont="1" applyBorder="1" applyAlignment="1">
      <alignment horizontal="left"/>
    </xf>
    <xf numFmtId="0" fontId="4" fillId="0" borderId="1" xfId="0" applyFont="1" applyBorder="1" applyAlignment="1">
      <alignment horizontal="center" vertical="center"/>
    </xf>
    <xf numFmtId="0" fontId="0" fillId="0" borderId="0" xfId="0" applyAlignment="1">
      <alignment horizontal="left" wrapText="1"/>
    </xf>
    <xf numFmtId="0" fontId="4" fillId="0" borderId="1" xfId="0" applyFont="1" applyBorder="1" applyAlignment="1">
      <alignment horizontal="center"/>
    </xf>
    <xf numFmtId="0" fontId="4" fillId="2" borderId="1" xfId="0" applyFont="1" applyFill="1" applyBorder="1" applyAlignment="1">
      <alignment horizontal="center" wrapText="1"/>
    </xf>
    <xf numFmtId="0" fontId="1" fillId="0" borderId="1" xfId="0" applyFont="1" applyFill="1" applyBorder="1" applyAlignment="1">
      <alignment horizontal="center" vertical="center" wrapText="1"/>
    </xf>
    <xf numFmtId="0" fontId="0" fillId="0" borderId="1" xfId="0" applyFill="1" applyBorder="1" applyAlignment="1">
      <alignment horizontal="center" vertical="center" wrapText="1"/>
    </xf>
    <xf numFmtId="44" fontId="0" fillId="0" borderId="1" xfId="0" applyNumberFormat="1" applyBorder="1" applyAlignment="1">
      <alignment horizontal="center" vertical="center"/>
    </xf>
    <xf numFmtId="0" fontId="0" fillId="3" borderId="9" xfId="0" applyFill="1" applyBorder="1" applyAlignment="1">
      <alignment horizontal="center"/>
    </xf>
    <xf numFmtId="0" fontId="0" fillId="3" borderId="20" xfId="0" applyFill="1" applyBorder="1" applyAlignment="1">
      <alignment horizontal="center"/>
    </xf>
    <xf numFmtId="0" fontId="0" fillId="3" borderId="21" xfId="0" applyFill="1" applyBorder="1" applyAlignment="1">
      <alignment horizontal="center"/>
    </xf>
    <xf numFmtId="0" fontId="4" fillId="0" borderId="18" xfId="0" applyFont="1" applyBorder="1" applyAlignment="1">
      <alignment horizontal="center"/>
    </xf>
    <xf numFmtId="9" fontId="0" fillId="0" borderId="1" xfId="0" applyNumberFormat="1" applyBorder="1" applyAlignment="1">
      <alignment horizontal="center" vertical="center" wrapText="1"/>
    </xf>
    <xf numFmtId="0" fontId="0" fillId="3" borderId="1" xfId="0" applyFill="1" applyBorder="1" applyAlignment="1">
      <alignment horizontal="center" wrapText="1"/>
    </xf>
    <xf numFmtId="0" fontId="4" fillId="3" borderId="6" xfId="0" applyFont="1" applyFill="1" applyBorder="1" applyAlignment="1">
      <alignment horizontal="center" vertical="center" wrapText="1"/>
    </xf>
    <xf numFmtId="0" fontId="4" fillId="3" borderId="19" xfId="0" applyFont="1" applyFill="1" applyBorder="1" applyAlignment="1">
      <alignment horizontal="center" vertical="center" wrapText="1"/>
    </xf>
    <xf numFmtId="0" fontId="0" fillId="3" borderId="1" xfId="0" applyFill="1" applyBorder="1" applyAlignment="1">
      <alignment horizontal="center"/>
    </xf>
    <xf numFmtId="0" fontId="0" fillId="0" borderId="1" xfId="0" applyFill="1" applyBorder="1" applyAlignment="1">
      <alignment horizontal="center"/>
    </xf>
    <xf numFmtId="9" fontId="0" fillId="0" borderId="1" xfId="0" applyNumberFormat="1" applyBorder="1" applyAlignment="1">
      <alignment horizontal="center" vertical="center"/>
    </xf>
    <xf numFmtId="0" fontId="0" fillId="0" borderId="1" xfId="0" applyBorder="1" applyAlignment="1">
      <alignment horizontal="center"/>
    </xf>
    <xf numFmtId="0" fontId="1" fillId="2" borderId="1" xfId="0" applyFont="1" applyFill="1" applyBorder="1" applyAlignment="1">
      <alignment horizontal="center"/>
    </xf>
    <xf numFmtId="0" fontId="0" fillId="0" borderId="1" xfId="0" applyFill="1" applyBorder="1" applyAlignment="1">
      <alignment horizontal="center" wrapText="1"/>
    </xf>
    <xf numFmtId="164" fontId="4" fillId="0" borderId="1" xfId="0" applyNumberFormat="1" applyFont="1" applyBorder="1" applyAlignment="1">
      <alignment horizontal="center"/>
    </xf>
    <xf numFmtId="44" fontId="1" fillId="2" borderId="1" xfId="0" applyNumberFormat="1" applyFont="1" applyFill="1" applyBorder="1" applyAlignment="1">
      <alignment horizontal="center"/>
    </xf>
    <xf numFmtId="0" fontId="0" fillId="0" borderId="1" xfId="0" applyBorder="1" applyAlignment="1">
      <alignment horizontal="center" wrapText="1"/>
    </xf>
    <xf numFmtId="0" fontId="0" fillId="0" borderId="9" xfId="0" applyBorder="1" applyAlignment="1">
      <alignment horizontal="center" vertical="center"/>
    </xf>
    <xf numFmtId="0" fontId="0" fillId="0" borderId="20" xfId="0"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xf>
    <xf numFmtId="0" fontId="4" fillId="0" borderId="1" xfId="0" applyFont="1" applyBorder="1" applyAlignment="1">
      <alignment horizontal="center" wrapText="1"/>
    </xf>
    <xf numFmtId="0" fontId="1" fillId="2" borderId="9" xfId="0" applyFont="1" applyFill="1" applyBorder="1" applyAlignment="1">
      <alignment horizontal="center"/>
    </xf>
    <xf numFmtId="169" fontId="0" fillId="0" borderId="0" xfId="0" applyNumberFormat="1" applyFill="1" applyBorder="1" applyAlignment="1">
      <alignment horizontal="center"/>
    </xf>
    <xf numFmtId="0" fontId="0" fillId="3" borderId="0" xfId="0" applyFill="1" applyAlignment="1">
      <alignment horizontal="left"/>
    </xf>
    <xf numFmtId="0" fontId="4" fillId="0" borderId="1" xfId="0" applyFont="1" applyFill="1" applyBorder="1" applyAlignment="1">
      <alignment horizontal="center"/>
    </xf>
    <xf numFmtId="0" fontId="4" fillId="0" borderId="0" xfId="0" applyFont="1" applyFill="1" applyBorder="1" applyAlignment="1">
      <alignment horizontal="center"/>
    </xf>
    <xf numFmtId="0" fontId="0" fillId="0" borderId="0" xfId="0" applyFill="1" applyBorder="1" applyAlignment="1">
      <alignment horizontal="center"/>
    </xf>
    <xf numFmtId="0" fontId="0" fillId="5" borderId="1" xfId="0" applyFill="1" applyBorder="1" applyAlignment="1">
      <alignment horizontal="center"/>
    </xf>
    <xf numFmtId="0" fontId="4" fillId="0" borderId="0" xfId="0" applyFont="1" applyAlignment="1">
      <alignment horizontal="center"/>
    </xf>
    <xf numFmtId="0" fontId="4" fillId="0" borderId="0" xfId="0" applyFont="1" applyBorder="1" applyAlignment="1">
      <alignment horizontal="center"/>
    </xf>
    <xf numFmtId="0" fontId="1" fillId="2" borderId="20" xfId="0" applyFont="1" applyFill="1" applyBorder="1" applyAlignment="1">
      <alignment horizontal="center"/>
    </xf>
    <xf numFmtId="0" fontId="1" fillId="2" borderId="21" xfId="0" applyFont="1" applyFill="1" applyBorder="1" applyAlignment="1">
      <alignment horizontal="center"/>
    </xf>
    <xf numFmtId="0" fontId="4" fillId="0" borderId="25" xfId="0" applyFont="1" applyBorder="1" applyAlignment="1">
      <alignment horizontal="center"/>
    </xf>
    <xf numFmtId="0" fontId="4" fillId="0" borderId="27" xfId="0" applyFont="1" applyBorder="1" applyAlignment="1">
      <alignment horizontal="center"/>
    </xf>
    <xf numFmtId="0" fontId="0" fillId="0" borderId="21" xfId="0" applyBorder="1" applyAlignment="1">
      <alignment horizontal="center"/>
    </xf>
    <xf numFmtId="0" fontId="4" fillId="0" borderId="28" xfId="0" applyFont="1" applyBorder="1" applyAlignment="1">
      <alignment horizontal="center"/>
    </xf>
    <xf numFmtId="0" fontId="4" fillId="0" borderId="22" xfId="0" applyFont="1" applyFill="1" applyBorder="1" applyAlignment="1">
      <alignment horizontal="center" vertical="center" wrapText="1"/>
    </xf>
    <xf numFmtId="0" fontId="4" fillId="0" borderId="35" xfId="0" applyFont="1" applyFill="1" applyBorder="1" applyAlignment="1">
      <alignment horizontal="center" vertical="center" wrapText="1"/>
    </xf>
    <xf numFmtId="0" fontId="4" fillId="0" borderId="36" xfId="0" applyFont="1" applyFill="1" applyBorder="1" applyAlignment="1">
      <alignment horizontal="center" vertical="center" wrapText="1"/>
    </xf>
    <xf numFmtId="0" fontId="4" fillId="2" borderId="20" xfId="0" applyFont="1" applyFill="1" applyBorder="1" applyAlignment="1">
      <alignment horizontal="center"/>
    </xf>
    <xf numFmtId="0" fontId="4" fillId="2" borderId="21" xfId="0" applyFont="1" applyFill="1" applyBorder="1" applyAlignment="1">
      <alignment horizontal="center"/>
    </xf>
    <xf numFmtId="166" fontId="0" fillId="0" borderId="6" xfId="0" applyNumberFormat="1" applyBorder="1" applyAlignment="1">
      <alignment horizontal="center" vertical="center"/>
    </xf>
    <xf numFmtId="166" fontId="0" fillId="0" borderId="19" xfId="0" applyNumberFormat="1" applyBorder="1" applyAlignment="1">
      <alignment horizontal="center" vertical="center"/>
    </xf>
    <xf numFmtId="0" fontId="0" fillId="0" borderId="1" xfId="0" applyFont="1" applyFill="1" applyBorder="1" applyAlignment="1">
      <alignment horizontal="center"/>
    </xf>
    <xf numFmtId="0" fontId="4" fillId="0" borderId="9" xfId="0" applyFont="1" applyBorder="1" applyAlignment="1">
      <alignment horizontal="center" vertical="center" wrapText="1"/>
    </xf>
    <xf numFmtId="0" fontId="4" fillId="0" borderId="21" xfId="0" applyFont="1" applyBorder="1" applyAlignment="1">
      <alignment horizontal="center" vertical="center" wrapText="1"/>
    </xf>
    <xf numFmtId="0" fontId="6" fillId="3" borderId="0" xfId="0" applyFont="1" applyFill="1" applyAlignment="1">
      <alignment horizontal="left" vertical="center" wrapText="1"/>
    </xf>
    <xf numFmtId="0" fontId="0" fillId="0" borderId="29" xfId="0" applyBorder="1" applyAlignment="1">
      <alignment horizontal="center"/>
    </xf>
  </cellXfs>
  <cellStyles count="3">
    <cellStyle name="Moneda" xfId="1"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D99CD-D959-4F85-8B0D-31F8C19B848F}">
  <dimension ref="A1:P72"/>
  <sheetViews>
    <sheetView zoomScale="90" zoomScaleNormal="90" workbookViewId="0">
      <selection activeCell="G18" sqref="G18:H18"/>
    </sheetView>
  </sheetViews>
  <sheetFormatPr baseColWidth="10" defaultRowHeight="15" x14ac:dyDescent="0.25"/>
  <cols>
    <col min="3" max="3" width="13.5703125" customWidth="1"/>
    <col min="5" max="5" width="14.140625" customWidth="1"/>
    <col min="6" max="6" width="11.140625" customWidth="1"/>
    <col min="7" max="8" width="12.140625" customWidth="1"/>
    <col min="9" max="9" width="14.85546875" customWidth="1"/>
    <col min="12" max="12" width="17.7109375" customWidth="1"/>
  </cols>
  <sheetData>
    <row r="1" spans="1:16" x14ac:dyDescent="0.25">
      <c r="A1" s="1" t="s">
        <v>0</v>
      </c>
      <c r="B1" s="289" t="s">
        <v>1</v>
      </c>
      <c r="C1" s="289"/>
      <c r="D1" s="289"/>
      <c r="E1" s="289"/>
      <c r="F1" s="289"/>
      <c r="G1" s="289"/>
      <c r="H1" s="289"/>
      <c r="I1" s="289"/>
      <c r="J1" s="289"/>
      <c r="K1" s="289"/>
      <c r="L1" s="289"/>
      <c r="M1" s="289"/>
      <c r="N1" s="289"/>
      <c r="O1" s="289"/>
    </row>
    <row r="2" spans="1:16" x14ac:dyDescent="0.25">
      <c r="B2" s="289"/>
      <c r="C2" s="289"/>
      <c r="D2" s="289"/>
      <c r="E2" s="289"/>
      <c r="F2" s="289"/>
      <c r="G2" s="289"/>
      <c r="H2" s="289"/>
      <c r="I2" s="289"/>
      <c r="J2" s="289"/>
      <c r="K2" s="289"/>
      <c r="L2" s="289"/>
      <c r="M2" s="289"/>
      <c r="N2" s="289"/>
      <c r="O2" s="289"/>
    </row>
    <row r="4" spans="1:16" x14ac:dyDescent="0.25">
      <c r="B4" s="294" t="s">
        <v>9</v>
      </c>
      <c r="C4" s="294"/>
      <c r="D4" s="296" t="s">
        <v>2</v>
      </c>
      <c r="E4" s="296"/>
      <c r="F4" s="296"/>
      <c r="G4" s="296"/>
    </row>
    <row r="5" spans="1:16" x14ac:dyDescent="0.25">
      <c r="B5" s="294"/>
      <c r="C5" s="294"/>
      <c r="D5" s="6" t="s">
        <v>3</v>
      </c>
      <c r="E5" s="6" t="s">
        <v>4</v>
      </c>
      <c r="F5" s="296" t="s">
        <v>5</v>
      </c>
      <c r="G5" s="296"/>
    </row>
    <row r="6" spans="1:16" ht="15" customHeight="1" x14ac:dyDescent="0.25">
      <c r="B6" s="290" t="s">
        <v>6</v>
      </c>
      <c r="C6" s="290"/>
      <c r="D6" s="284"/>
      <c r="E6" s="284"/>
      <c r="F6" s="284" t="s">
        <v>30</v>
      </c>
      <c r="G6" s="284"/>
      <c r="H6" s="295" t="s">
        <v>31</v>
      </c>
      <c r="I6" s="295"/>
      <c r="J6" s="295"/>
      <c r="K6" s="295"/>
      <c r="L6" s="295"/>
      <c r="M6" s="295"/>
      <c r="N6" s="295"/>
      <c r="O6" s="295"/>
      <c r="P6" s="295"/>
    </row>
    <row r="7" spans="1:16" x14ac:dyDescent="0.25">
      <c r="B7" s="290"/>
      <c r="C7" s="290"/>
      <c r="D7" s="284"/>
      <c r="E7" s="284"/>
      <c r="F7" s="284"/>
      <c r="G7" s="284"/>
      <c r="H7" s="295"/>
      <c r="I7" s="295"/>
      <c r="J7" s="295"/>
      <c r="K7" s="295"/>
      <c r="L7" s="295"/>
      <c r="M7" s="295"/>
      <c r="N7" s="295"/>
      <c r="O7" s="295"/>
      <c r="P7" s="295"/>
    </row>
    <row r="8" spans="1:16" x14ac:dyDescent="0.25">
      <c r="B8" s="290" t="s">
        <v>7</v>
      </c>
      <c r="C8" s="290"/>
      <c r="D8" s="284"/>
      <c r="E8" s="284" t="s">
        <v>30</v>
      </c>
      <c r="F8" s="285" t="s">
        <v>30</v>
      </c>
      <c r="G8" s="286"/>
      <c r="H8" s="295" t="s">
        <v>32</v>
      </c>
      <c r="I8" s="295"/>
      <c r="J8" s="295"/>
      <c r="K8" s="295"/>
      <c r="L8" s="295"/>
      <c r="M8" s="295"/>
      <c r="N8" s="295"/>
      <c r="O8" s="295"/>
      <c r="P8" s="295"/>
    </row>
    <row r="9" spans="1:16" x14ac:dyDescent="0.25">
      <c r="B9" s="290"/>
      <c r="C9" s="290"/>
      <c r="D9" s="284"/>
      <c r="E9" s="284"/>
      <c r="F9" s="287"/>
      <c r="G9" s="288"/>
      <c r="H9" s="295"/>
      <c r="I9" s="295"/>
      <c r="J9" s="295"/>
      <c r="K9" s="295"/>
      <c r="L9" s="295"/>
      <c r="M9" s="295"/>
      <c r="N9" s="295"/>
      <c r="O9" s="295"/>
      <c r="P9" s="295"/>
    </row>
    <row r="10" spans="1:16" ht="15" customHeight="1" x14ac:dyDescent="0.25">
      <c r="B10" s="290" t="s">
        <v>8</v>
      </c>
      <c r="C10" s="290"/>
      <c r="D10" s="284" t="s">
        <v>30</v>
      </c>
      <c r="E10" s="284"/>
      <c r="F10" s="284" t="s">
        <v>30</v>
      </c>
      <c r="G10" s="284"/>
      <c r="H10" s="295" t="s">
        <v>33</v>
      </c>
      <c r="I10" s="295"/>
      <c r="J10" s="295"/>
      <c r="K10" s="295"/>
      <c r="L10" s="295"/>
      <c r="M10" s="295"/>
      <c r="N10" s="295"/>
      <c r="O10" s="295"/>
      <c r="P10" s="295"/>
    </row>
    <row r="11" spans="1:16" x14ac:dyDescent="0.25">
      <c r="B11" s="290"/>
      <c r="C11" s="290"/>
      <c r="D11" s="284"/>
      <c r="E11" s="284"/>
      <c r="F11" s="284"/>
      <c r="G11" s="284"/>
      <c r="H11" s="295"/>
      <c r="I11" s="295"/>
      <c r="J11" s="295"/>
      <c r="K11" s="295"/>
      <c r="L11" s="295"/>
      <c r="M11" s="295"/>
      <c r="N11" s="295"/>
      <c r="O11" s="295"/>
      <c r="P11" s="295"/>
    </row>
    <row r="12" spans="1:16" x14ac:dyDescent="0.25">
      <c r="H12" s="9"/>
      <c r="I12" s="9"/>
      <c r="J12" s="9"/>
      <c r="K12" s="9"/>
      <c r="L12" s="9"/>
      <c r="M12" s="9"/>
      <c r="N12" s="9"/>
      <c r="O12" s="9"/>
      <c r="P12" s="9"/>
    </row>
    <row r="13" spans="1:16" x14ac:dyDescent="0.25">
      <c r="A13" s="1" t="s">
        <v>10</v>
      </c>
      <c r="B13" s="289" t="s">
        <v>16</v>
      </c>
      <c r="C13" s="289"/>
      <c r="D13" s="289"/>
      <c r="E13" s="289"/>
      <c r="F13" s="289"/>
      <c r="G13" s="289"/>
      <c r="H13" s="289"/>
      <c r="I13" s="289"/>
      <c r="J13" s="289"/>
      <c r="K13" s="289"/>
      <c r="L13" s="289"/>
      <c r="M13" s="289"/>
      <c r="N13" s="289"/>
      <c r="O13" s="289"/>
    </row>
    <row r="14" spans="1:16" x14ac:dyDescent="0.25">
      <c r="B14" s="289"/>
      <c r="C14" s="289"/>
      <c r="D14" s="289"/>
      <c r="E14" s="289"/>
      <c r="F14" s="289"/>
      <c r="G14" s="289"/>
      <c r="H14" s="289"/>
      <c r="I14" s="289"/>
      <c r="J14" s="289"/>
      <c r="K14" s="289"/>
      <c r="L14" s="289"/>
      <c r="M14" s="289"/>
      <c r="N14" s="289"/>
      <c r="O14" s="289"/>
    </row>
    <row r="15" spans="1:16" x14ac:dyDescent="0.25">
      <c r="B15" s="7"/>
      <c r="C15" s="7"/>
      <c r="D15" s="7"/>
      <c r="E15" s="7"/>
      <c r="F15" s="7"/>
      <c r="G15" s="7"/>
      <c r="H15" s="7"/>
      <c r="I15" s="7"/>
      <c r="J15" s="7"/>
      <c r="K15" s="7"/>
      <c r="L15" s="7"/>
      <c r="M15" s="7"/>
      <c r="N15" s="7"/>
      <c r="O15" s="7"/>
    </row>
    <row r="16" spans="1:16" ht="15" customHeight="1" x14ac:dyDescent="0.25">
      <c r="B16" s="16" t="s">
        <v>34</v>
      </c>
      <c r="C16" s="12">
        <v>12000</v>
      </c>
      <c r="D16" s="7"/>
      <c r="E16" s="11" t="s">
        <v>37</v>
      </c>
      <c r="F16" s="12">
        <f>(C16-C17)/C18</f>
        <v>1200</v>
      </c>
      <c r="G16" s="291" t="s">
        <v>38</v>
      </c>
      <c r="H16" s="291"/>
      <c r="I16" s="7"/>
      <c r="J16" s="10">
        <f>F16*6</f>
        <v>7200</v>
      </c>
      <c r="K16" s="7"/>
      <c r="L16" s="7"/>
      <c r="M16" s="7"/>
      <c r="N16" s="7"/>
      <c r="O16" s="7"/>
    </row>
    <row r="17" spans="1:15" x14ac:dyDescent="0.25">
      <c r="B17" s="16" t="s">
        <v>36</v>
      </c>
      <c r="C17" s="11">
        <v>0</v>
      </c>
      <c r="D17" s="7"/>
      <c r="E17" s="7"/>
      <c r="F17" s="7"/>
      <c r="G17" s="7"/>
      <c r="H17" s="7"/>
      <c r="I17" s="7"/>
      <c r="J17" s="7"/>
      <c r="K17" s="7"/>
      <c r="L17" s="7"/>
      <c r="M17" s="7"/>
      <c r="N17" s="7"/>
      <c r="O17" s="7"/>
    </row>
    <row r="18" spans="1:15" x14ac:dyDescent="0.25">
      <c r="B18" s="16" t="s">
        <v>40</v>
      </c>
      <c r="C18" s="11">
        <v>10</v>
      </c>
      <c r="D18" s="7"/>
      <c r="E18" s="15" t="s">
        <v>39</v>
      </c>
      <c r="F18" s="14">
        <f>((C16-C17)*(C19/C18))+C17</f>
        <v>4800</v>
      </c>
      <c r="G18" s="291" t="s">
        <v>56</v>
      </c>
      <c r="H18" s="291"/>
      <c r="I18" s="7"/>
      <c r="J18" s="7"/>
      <c r="K18" s="7"/>
      <c r="L18" s="7"/>
      <c r="M18" s="7"/>
      <c r="N18" s="7"/>
      <c r="O18" s="7"/>
    </row>
    <row r="19" spans="1:15" x14ac:dyDescent="0.25">
      <c r="B19" s="16" t="s">
        <v>35</v>
      </c>
      <c r="C19" s="11">
        <v>4</v>
      </c>
      <c r="D19" s="7"/>
      <c r="E19" s="7"/>
      <c r="F19" s="14">
        <f>F16*C19</f>
        <v>4800</v>
      </c>
      <c r="G19" s="7"/>
      <c r="H19" s="7"/>
      <c r="I19" s="7"/>
      <c r="J19" s="7"/>
      <c r="K19" s="7"/>
      <c r="L19" s="7"/>
      <c r="M19" s="7"/>
      <c r="N19" s="7"/>
      <c r="O19" s="7"/>
    </row>
    <row r="20" spans="1:15" x14ac:dyDescent="0.25">
      <c r="B20" s="17"/>
      <c r="C20" s="18"/>
      <c r="D20" s="7"/>
      <c r="E20" s="7"/>
      <c r="F20" s="14">
        <f>C16-J16</f>
        <v>4800</v>
      </c>
      <c r="G20" s="7"/>
      <c r="H20" s="7"/>
      <c r="I20" s="7"/>
      <c r="J20" s="7"/>
      <c r="K20" s="7"/>
      <c r="L20" s="7"/>
      <c r="M20" s="7"/>
      <c r="N20" s="7"/>
      <c r="O20" s="7"/>
    </row>
    <row r="22" spans="1:15" ht="15" customHeight="1" x14ac:dyDescent="0.25">
      <c r="A22" s="1" t="s">
        <v>11</v>
      </c>
      <c r="B22" s="289" t="s">
        <v>17</v>
      </c>
      <c r="C22" s="289"/>
      <c r="D22" s="289"/>
      <c r="E22" s="289"/>
      <c r="F22" s="289"/>
      <c r="G22" s="289"/>
      <c r="H22" s="289"/>
      <c r="I22" s="289"/>
      <c r="J22" s="289"/>
      <c r="K22" s="289"/>
      <c r="L22" s="289"/>
      <c r="M22" s="289"/>
      <c r="N22" s="289"/>
      <c r="O22" s="289"/>
    </row>
    <row r="23" spans="1:15" ht="15" customHeight="1" x14ac:dyDescent="0.25">
      <c r="A23" s="8"/>
      <c r="B23" s="7"/>
      <c r="C23" s="7"/>
      <c r="D23" s="7"/>
      <c r="E23" s="7"/>
      <c r="F23" s="7"/>
      <c r="G23" s="7"/>
      <c r="H23" s="7"/>
      <c r="I23" s="7"/>
      <c r="J23" s="7"/>
      <c r="K23" s="7"/>
      <c r="L23" s="7"/>
      <c r="M23" s="7"/>
      <c r="N23" s="7"/>
      <c r="O23" s="7"/>
    </row>
    <row r="24" spans="1:15" ht="15" customHeight="1" x14ac:dyDescent="0.25">
      <c r="A24" s="8"/>
      <c r="B24" s="16" t="s">
        <v>34</v>
      </c>
      <c r="C24" s="12">
        <v>2000</v>
      </c>
      <c r="D24" s="7"/>
      <c r="E24" s="11" t="s">
        <v>37</v>
      </c>
      <c r="F24" s="12">
        <f>(C24-C25)/C26</f>
        <v>266.66666666666669</v>
      </c>
      <c r="G24" s="291" t="s">
        <v>38</v>
      </c>
      <c r="H24" s="291"/>
      <c r="I24" s="7"/>
      <c r="J24" s="10">
        <f>F24*4</f>
        <v>1066.6666666666667</v>
      </c>
      <c r="K24" s="7"/>
      <c r="L24" s="7"/>
      <c r="M24" s="7"/>
      <c r="N24" s="7"/>
      <c r="O24" s="7"/>
    </row>
    <row r="25" spans="1:15" ht="15" customHeight="1" x14ac:dyDescent="0.25">
      <c r="A25" s="8"/>
      <c r="B25" s="16" t="s">
        <v>36</v>
      </c>
      <c r="C25" s="13">
        <f>C24*0.2</f>
        <v>400</v>
      </c>
      <c r="D25" s="7"/>
      <c r="E25" s="7"/>
      <c r="F25" s="7"/>
      <c r="G25" s="7"/>
      <c r="H25" s="7"/>
      <c r="I25" s="7"/>
      <c r="J25" s="7"/>
      <c r="K25" s="7"/>
      <c r="L25" s="7"/>
      <c r="M25" s="7"/>
      <c r="N25" s="7"/>
      <c r="O25" s="7"/>
    </row>
    <row r="26" spans="1:15" ht="15" customHeight="1" x14ac:dyDescent="0.25">
      <c r="A26" s="8"/>
      <c r="B26" s="16" t="s">
        <v>40</v>
      </c>
      <c r="C26" s="11">
        <v>6</v>
      </c>
      <c r="D26" s="7"/>
      <c r="E26" s="15" t="s">
        <v>39</v>
      </c>
      <c r="F26" s="14">
        <f>((C24-C25)*(C27/C26))+C25</f>
        <v>933.33333333333326</v>
      </c>
      <c r="G26" s="291" t="s">
        <v>56</v>
      </c>
      <c r="H26" s="291"/>
      <c r="I26" s="7"/>
      <c r="J26" s="7"/>
      <c r="K26" s="7"/>
      <c r="L26" s="7"/>
      <c r="M26" s="7"/>
      <c r="N26" s="7"/>
      <c r="O26" s="7"/>
    </row>
    <row r="27" spans="1:15" x14ac:dyDescent="0.25">
      <c r="B27" s="16" t="s">
        <v>35</v>
      </c>
      <c r="C27" s="11">
        <v>2</v>
      </c>
      <c r="D27" s="7"/>
      <c r="E27" s="7"/>
      <c r="F27" s="14">
        <f>(F24*C27)+C25</f>
        <v>933.33333333333337</v>
      </c>
      <c r="G27" s="7"/>
      <c r="H27" s="7"/>
      <c r="I27" s="4"/>
      <c r="J27" s="4"/>
      <c r="K27" s="4"/>
      <c r="L27" s="4"/>
      <c r="M27" s="4"/>
      <c r="N27" s="4"/>
      <c r="O27" s="4"/>
    </row>
    <row r="28" spans="1:15" x14ac:dyDescent="0.25">
      <c r="B28" s="17"/>
      <c r="C28" s="18"/>
      <c r="D28" s="7"/>
      <c r="E28" s="7"/>
      <c r="F28" s="14">
        <f>C24-J24</f>
        <v>933.33333333333326</v>
      </c>
      <c r="G28" s="7"/>
      <c r="H28" s="7"/>
      <c r="I28" s="4"/>
      <c r="J28" s="4"/>
      <c r="K28" s="4"/>
      <c r="L28" s="4"/>
      <c r="M28" s="4"/>
      <c r="N28" s="4"/>
      <c r="O28" s="4"/>
    </row>
    <row r="30" spans="1:15" x14ac:dyDescent="0.25">
      <c r="A30" s="1" t="s">
        <v>12</v>
      </c>
      <c r="B30" s="289" t="s">
        <v>18</v>
      </c>
      <c r="C30" s="289"/>
      <c r="D30" s="289"/>
      <c r="E30" s="289"/>
      <c r="F30" s="289"/>
      <c r="G30" s="289"/>
      <c r="H30" s="289"/>
      <c r="I30" s="289"/>
      <c r="J30" s="289"/>
      <c r="K30" s="289"/>
      <c r="L30" s="289"/>
      <c r="M30" s="289"/>
      <c r="N30" s="289"/>
      <c r="O30" s="289"/>
    </row>
    <row r="31" spans="1:15" x14ac:dyDescent="0.25">
      <c r="B31" s="289"/>
      <c r="C31" s="289"/>
      <c r="D31" s="289"/>
      <c r="E31" s="289"/>
      <c r="F31" s="289"/>
      <c r="G31" s="289"/>
      <c r="H31" s="289"/>
      <c r="I31" s="289"/>
      <c r="J31" s="289"/>
      <c r="K31" s="289"/>
      <c r="L31" s="289"/>
      <c r="M31" s="289"/>
      <c r="N31" s="289"/>
      <c r="O31" s="289"/>
    </row>
    <row r="32" spans="1:15" x14ac:dyDescent="0.25">
      <c r="B32" s="7"/>
      <c r="C32" s="7"/>
      <c r="D32" s="7"/>
      <c r="E32" s="7"/>
      <c r="F32" s="7"/>
      <c r="G32" s="7"/>
      <c r="H32" s="7"/>
      <c r="I32" s="7"/>
      <c r="J32" s="7"/>
      <c r="K32" s="7"/>
      <c r="L32" s="7"/>
      <c r="M32" s="7"/>
      <c r="N32" s="7"/>
      <c r="O32" s="7"/>
    </row>
    <row r="33" spans="1:15" x14ac:dyDescent="0.25">
      <c r="B33" s="16" t="s">
        <v>34</v>
      </c>
      <c r="C33" s="12">
        <v>5000</v>
      </c>
      <c r="D33" s="7"/>
      <c r="E33" s="15" t="s">
        <v>37</v>
      </c>
      <c r="F33" s="19">
        <f>(C33-C34)/C35</f>
        <v>250</v>
      </c>
      <c r="G33" s="291" t="s">
        <v>38</v>
      </c>
      <c r="H33" s="291"/>
      <c r="I33" s="7"/>
      <c r="J33" s="10">
        <f>F33*10</f>
        <v>2500</v>
      </c>
      <c r="K33" s="7"/>
      <c r="L33" s="7"/>
      <c r="M33" s="7"/>
      <c r="N33" s="7"/>
      <c r="O33" s="7"/>
    </row>
    <row r="34" spans="1:15" x14ac:dyDescent="0.25">
      <c r="B34" s="16" t="s">
        <v>36</v>
      </c>
      <c r="C34" s="13">
        <v>0</v>
      </c>
      <c r="D34" s="7"/>
      <c r="E34" s="7"/>
      <c r="F34" s="7"/>
      <c r="G34" s="7"/>
      <c r="H34" s="7"/>
      <c r="I34" s="7"/>
      <c r="J34" s="7"/>
      <c r="K34" s="7"/>
      <c r="L34" s="7"/>
      <c r="M34" s="7"/>
      <c r="N34" s="7"/>
      <c r="O34" s="7"/>
    </row>
    <row r="35" spans="1:15" ht="15" customHeight="1" x14ac:dyDescent="0.25">
      <c r="B35" s="16" t="s">
        <v>40</v>
      </c>
      <c r="C35" s="11">
        <v>20</v>
      </c>
      <c r="D35" s="7"/>
      <c r="E35" s="11" t="s">
        <v>39</v>
      </c>
      <c r="F35" s="13">
        <f>((C33-C34)*(C36/C35))+C34</f>
        <v>2500</v>
      </c>
      <c r="G35" s="291" t="s">
        <v>56</v>
      </c>
      <c r="H35" s="291"/>
      <c r="I35" s="7"/>
      <c r="J35" s="7"/>
      <c r="K35" s="7"/>
      <c r="L35" s="7"/>
      <c r="M35" s="7"/>
      <c r="N35" s="7"/>
      <c r="O35" s="7"/>
    </row>
    <row r="36" spans="1:15" x14ac:dyDescent="0.25">
      <c r="B36" s="16" t="s">
        <v>35</v>
      </c>
      <c r="C36" s="11">
        <v>10</v>
      </c>
      <c r="D36" s="7"/>
      <c r="E36" s="7"/>
      <c r="F36" s="13">
        <f>(F33*C36)+C34</f>
        <v>2500</v>
      </c>
      <c r="G36" s="7"/>
      <c r="H36" s="7"/>
      <c r="I36" s="4"/>
      <c r="J36" s="4"/>
      <c r="K36" s="7"/>
      <c r="L36" s="7"/>
      <c r="M36" s="7"/>
      <c r="N36" s="7"/>
      <c r="O36" s="7"/>
    </row>
    <row r="37" spans="1:15" x14ac:dyDescent="0.25">
      <c r="B37" s="17"/>
      <c r="C37" s="18"/>
      <c r="D37" s="7"/>
      <c r="E37" s="7"/>
      <c r="F37" s="13">
        <f>C33-J33</f>
        <v>2500</v>
      </c>
      <c r="G37" s="7"/>
      <c r="H37" s="7"/>
      <c r="I37" s="4"/>
      <c r="J37" s="4"/>
      <c r="K37" s="7"/>
      <c r="L37" s="7"/>
      <c r="M37" s="7"/>
      <c r="N37" s="7"/>
      <c r="O37" s="7"/>
    </row>
    <row r="38" spans="1:15" x14ac:dyDescent="0.25">
      <c r="B38" s="7"/>
      <c r="C38" s="7"/>
      <c r="D38" s="7"/>
      <c r="E38" s="7"/>
      <c r="F38" s="7"/>
      <c r="G38" s="7"/>
      <c r="H38" s="7"/>
      <c r="I38" s="7"/>
      <c r="J38" s="7"/>
      <c r="K38" s="7"/>
      <c r="L38" s="7"/>
      <c r="M38" s="7"/>
      <c r="N38" s="7"/>
      <c r="O38" s="7"/>
    </row>
    <row r="40" spans="1:15" x14ac:dyDescent="0.25">
      <c r="A40" s="1" t="s">
        <v>13</v>
      </c>
      <c r="B40" s="289" t="s">
        <v>19</v>
      </c>
      <c r="C40" s="289"/>
      <c r="D40" s="289"/>
      <c r="E40" s="289"/>
      <c r="F40" s="289"/>
      <c r="G40" s="289"/>
      <c r="H40" s="289"/>
      <c r="I40" s="289"/>
      <c r="J40" s="289"/>
      <c r="K40" s="289"/>
      <c r="L40" s="289"/>
      <c r="M40" s="289"/>
      <c r="N40" s="289"/>
      <c r="O40" s="289"/>
    </row>
    <row r="41" spans="1:15" x14ac:dyDescent="0.25">
      <c r="B41" s="289"/>
      <c r="C41" s="289"/>
      <c r="D41" s="289"/>
      <c r="E41" s="289"/>
      <c r="F41" s="289"/>
      <c r="G41" s="289"/>
      <c r="H41" s="289"/>
      <c r="I41" s="289"/>
      <c r="J41" s="289"/>
      <c r="K41" s="289"/>
      <c r="L41" s="289"/>
      <c r="M41" s="289"/>
      <c r="N41" s="289"/>
      <c r="O41" s="289"/>
    </row>
    <row r="42" spans="1:15" x14ac:dyDescent="0.25">
      <c r="B42" s="7"/>
      <c r="C42" s="7"/>
      <c r="D42" s="7"/>
      <c r="E42" s="7"/>
      <c r="F42" s="7"/>
      <c r="G42" s="7"/>
      <c r="H42" s="7"/>
      <c r="I42" s="7"/>
      <c r="J42" s="7"/>
      <c r="K42" s="7"/>
      <c r="L42" s="7"/>
      <c r="M42" s="7"/>
      <c r="N42" s="7"/>
      <c r="O42" s="7"/>
    </row>
    <row r="43" spans="1:15" x14ac:dyDescent="0.25">
      <c r="B43" s="16" t="s">
        <v>34</v>
      </c>
      <c r="C43" s="12">
        <v>3000</v>
      </c>
      <c r="D43" s="7"/>
      <c r="E43" s="15" t="s">
        <v>37</v>
      </c>
      <c r="F43" s="19">
        <f>(C43-C44)/C45</f>
        <v>80</v>
      </c>
      <c r="G43" s="291" t="s">
        <v>38</v>
      </c>
      <c r="H43" s="291"/>
      <c r="I43" s="7"/>
      <c r="J43" s="10">
        <f>F43*20</f>
        <v>1600</v>
      </c>
      <c r="K43" s="7"/>
      <c r="L43" s="16" t="s">
        <v>46</v>
      </c>
      <c r="M43" s="13">
        <f>C43-C44</f>
        <v>2400</v>
      </c>
      <c r="N43" s="7"/>
      <c r="O43" s="7"/>
    </row>
    <row r="44" spans="1:15" ht="15" customHeight="1" x14ac:dyDescent="0.25">
      <c r="B44" s="16" t="s">
        <v>36</v>
      </c>
      <c r="C44" s="13">
        <f>C43*0.2</f>
        <v>600</v>
      </c>
      <c r="D44" s="7"/>
      <c r="E44" s="7"/>
      <c r="F44" s="7"/>
      <c r="G44" s="7"/>
      <c r="H44" s="7"/>
      <c r="I44" s="7"/>
      <c r="J44" s="7"/>
      <c r="K44" s="7"/>
      <c r="L44" s="16" t="s">
        <v>47</v>
      </c>
      <c r="M44" s="13">
        <f>M43*(C46/C45)</f>
        <v>800</v>
      </c>
      <c r="N44" s="7"/>
      <c r="O44" s="7"/>
    </row>
    <row r="45" spans="1:15" ht="15" customHeight="1" x14ac:dyDescent="0.25">
      <c r="B45" s="16" t="s">
        <v>40</v>
      </c>
      <c r="C45" s="11">
        <v>30</v>
      </c>
      <c r="D45" s="7"/>
      <c r="E45" s="11" t="s">
        <v>39</v>
      </c>
      <c r="F45" s="13">
        <f>((C43-C44)*(C46/C45))+C44</f>
        <v>1400</v>
      </c>
      <c r="G45" s="291" t="s">
        <v>56</v>
      </c>
      <c r="H45" s="291"/>
      <c r="I45" s="7"/>
      <c r="J45" s="7"/>
      <c r="K45" s="7"/>
      <c r="L45" s="16" t="s">
        <v>39</v>
      </c>
      <c r="M45" s="13">
        <f>M44+C44</f>
        <v>1400</v>
      </c>
      <c r="N45" s="7"/>
      <c r="O45" s="7"/>
    </row>
    <row r="46" spans="1:15" x14ac:dyDescent="0.25">
      <c r="B46" s="16" t="s">
        <v>35</v>
      </c>
      <c r="C46" s="11">
        <v>10</v>
      </c>
      <c r="D46" s="7"/>
      <c r="E46" s="7"/>
      <c r="F46" s="13">
        <f>(F43*C46)+C44</f>
        <v>1400</v>
      </c>
      <c r="G46" s="7"/>
      <c r="H46" s="7"/>
      <c r="I46" s="4"/>
      <c r="J46" s="4"/>
      <c r="K46" s="7"/>
      <c r="L46" s="16" t="s">
        <v>43</v>
      </c>
      <c r="M46" s="20">
        <v>0.3</v>
      </c>
      <c r="N46" s="7"/>
      <c r="O46" s="7"/>
    </row>
    <row r="47" spans="1:15" x14ac:dyDescent="0.25">
      <c r="B47" s="17"/>
      <c r="C47" s="18"/>
      <c r="D47" s="7"/>
      <c r="E47" s="7"/>
      <c r="F47" s="13">
        <f>C43-J43</f>
        <v>1400</v>
      </c>
      <c r="G47" s="7"/>
      <c r="H47" s="7"/>
      <c r="I47" s="4"/>
      <c r="J47" s="4"/>
      <c r="K47" s="7"/>
      <c r="L47" s="16" t="s">
        <v>44</v>
      </c>
      <c r="M47" s="13">
        <f>M45*M46</f>
        <v>420</v>
      </c>
      <c r="N47" s="7"/>
      <c r="O47" s="7"/>
    </row>
    <row r="48" spans="1:15" x14ac:dyDescent="0.25">
      <c r="B48" s="7"/>
      <c r="C48" s="7"/>
      <c r="D48" s="7"/>
      <c r="E48" s="7"/>
      <c r="F48" s="7"/>
      <c r="G48" s="7"/>
      <c r="H48" s="7"/>
      <c r="I48" s="7"/>
      <c r="J48" s="7"/>
      <c r="K48" s="7"/>
      <c r="L48" s="7"/>
      <c r="M48" s="7"/>
      <c r="N48" s="7"/>
      <c r="O48" s="7"/>
    </row>
    <row r="49" spans="1:16" ht="15" customHeight="1" x14ac:dyDescent="0.25">
      <c r="A49" s="1" t="s">
        <v>14</v>
      </c>
      <c r="B49" s="289" t="s">
        <v>20</v>
      </c>
      <c r="C49" s="289"/>
      <c r="D49" s="289"/>
      <c r="E49" s="289"/>
      <c r="F49" s="289"/>
      <c r="G49" s="289"/>
      <c r="H49" s="289"/>
      <c r="I49" s="289"/>
      <c r="J49" s="289"/>
      <c r="K49" s="289"/>
      <c r="L49" s="289"/>
      <c r="M49" s="289"/>
      <c r="N49" s="289"/>
      <c r="O49" s="289"/>
    </row>
    <row r="50" spans="1:16" x14ac:dyDescent="0.25">
      <c r="B50" s="4"/>
      <c r="C50" s="4"/>
      <c r="D50" s="4"/>
      <c r="E50" s="4"/>
      <c r="F50" s="4"/>
      <c r="G50" s="4"/>
      <c r="H50" s="4"/>
      <c r="I50" s="4"/>
      <c r="J50" s="4"/>
      <c r="K50" s="4"/>
      <c r="L50" s="4"/>
      <c r="M50" s="4"/>
      <c r="N50" s="4"/>
      <c r="O50" s="4"/>
    </row>
    <row r="51" spans="1:16" ht="15" customHeight="1" x14ac:dyDescent="0.25">
      <c r="B51" s="298" t="s">
        <v>22</v>
      </c>
      <c r="C51" s="298" t="s">
        <v>23</v>
      </c>
      <c r="D51" s="298" t="s">
        <v>24</v>
      </c>
      <c r="E51" s="298" t="s">
        <v>25</v>
      </c>
      <c r="F51" s="298" t="s">
        <v>26</v>
      </c>
      <c r="G51" s="4"/>
      <c r="H51" s="4"/>
      <c r="J51" s="4"/>
      <c r="K51" s="4"/>
      <c r="L51" s="4"/>
      <c r="M51" s="4"/>
      <c r="N51" s="4"/>
      <c r="O51" s="4"/>
    </row>
    <row r="52" spans="1:16" ht="15" customHeight="1" x14ac:dyDescent="0.25">
      <c r="B52" s="298"/>
      <c r="C52" s="298"/>
      <c r="D52" s="298"/>
      <c r="E52" s="298"/>
      <c r="F52" s="298"/>
      <c r="G52" s="4"/>
      <c r="H52" s="4"/>
      <c r="I52" s="297" t="s">
        <v>42</v>
      </c>
      <c r="J52" s="297" t="s">
        <v>48</v>
      </c>
      <c r="K52" s="297" t="s">
        <v>45</v>
      </c>
      <c r="L52" s="4"/>
      <c r="M52" s="4"/>
      <c r="N52" s="4"/>
      <c r="O52" s="4"/>
    </row>
    <row r="53" spans="1:16" ht="15" customHeight="1" x14ac:dyDescent="0.25">
      <c r="B53" s="298"/>
      <c r="C53" s="298"/>
      <c r="D53" s="298"/>
      <c r="E53" s="298"/>
      <c r="F53" s="298"/>
      <c r="G53" s="4"/>
      <c r="H53" s="4"/>
      <c r="I53" s="297"/>
      <c r="J53" s="297"/>
      <c r="K53" s="297"/>
      <c r="L53" s="4"/>
      <c r="M53" s="4"/>
      <c r="N53" s="4"/>
      <c r="O53" s="4"/>
    </row>
    <row r="54" spans="1:16" x14ac:dyDescent="0.25">
      <c r="B54" s="5" t="s">
        <v>27</v>
      </c>
      <c r="C54" s="21">
        <v>36000</v>
      </c>
      <c r="D54" s="21">
        <v>3600</v>
      </c>
      <c r="E54" s="5">
        <v>12000</v>
      </c>
      <c r="F54" s="5">
        <v>800</v>
      </c>
      <c r="G54" s="4"/>
      <c r="H54" s="4"/>
      <c r="I54" s="22">
        <f>C54-D54</f>
        <v>32400</v>
      </c>
      <c r="J54" s="23">
        <f>I54/E54</f>
        <v>2.7</v>
      </c>
      <c r="K54" s="24">
        <f>J54*F54</f>
        <v>2160</v>
      </c>
      <c r="L54" s="4"/>
      <c r="M54" s="4"/>
      <c r="N54" s="4"/>
      <c r="O54" s="4"/>
    </row>
    <row r="55" spans="1:16" x14ac:dyDescent="0.25">
      <c r="B55" s="5" t="s">
        <v>28</v>
      </c>
      <c r="C55" s="21">
        <v>6600</v>
      </c>
      <c r="D55" s="21">
        <v>0</v>
      </c>
      <c r="E55" s="5">
        <v>5000</v>
      </c>
      <c r="F55" s="5">
        <v>250</v>
      </c>
      <c r="G55" s="4"/>
      <c r="H55" s="4"/>
      <c r="I55" s="22">
        <f t="shared" ref="I55:I56" si="0">C55-D55</f>
        <v>6600</v>
      </c>
      <c r="J55" s="23">
        <f t="shared" ref="J55:J56" si="1">I55/E55</f>
        <v>1.32</v>
      </c>
      <c r="K55" s="24">
        <f t="shared" ref="K55:K56" si="2">J55*F55</f>
        <v>330</v>
      </c>
      <c r="L55" s="4"/>
      <c r="M55" s="4"/>
      <c r="N55" s="4"/>
      <c r="O55" s="4"/>
    </row>
    <row r="56" spans="1:16" x14ac:dyDescent="0.25">
      <c r="B56" s="5" t="s">
        <v>29</v>
      </c>
      <c r="C56" s="21">
        <v>10000</v>
      </c>
      <c r="D56" s="21">
        <v>0</v>
      </c>
      <c r="E56" s="5">
        <v>10000</v>
      </c>
      <c r="F56" s="5">
        <v>500</v>
      </c>
      <c r="G56" s="4"/>
      <c r="H56" s="4"/>
      <c r="I56" s="22">
        <f t="shared" si="0"/>
        <v>10000</v>
      </c>
      <c r="J56" s="23">
        <f t="shared" si="1"/>
        <v>1</v>
      </c>
      <c r="K56" s="24">
        <f t="shared" si="2"/>
        <v>500</v>
      </c>
      <c r="L56" s="4"/>
      <c r="M56" s="4"/>
      <c r="N56" s="4"/>
      <c r="O56" s="4"/>
    </row>
    <row r="57" spans="1:16" x14ac:dyDescent="0.25">
      <c r="B57" s="4"/>
      <c r="C57" s="4"/>
      <c r="D57" s="4"/>
      <c r="E57" s="4"/>
      <c r="F57" s="4"/>
      <c r="G57" s="4"/>
      <c r="H57" s="4"/>
      <c r="I57" s="4"/>
      <c r="J57" s="4"/>
      <c r="K57" s="4"/>
      <c r="L57" s="4"/>
      <c r="M57" s="4"/>
      <c r="N57" s="4"/>
      <c r="O57" s="4"/>
    </row>
    <row r="59" spans="1:16" x14ac:dyDescent="0.25">
      <c r="A59" s="1" t="s">
        <v>15</v>
      </c>
      <c r="B59" s="289" t="s">
        <v>21</v>
      </c>
      <c r="C59" s="289"/>
      <c r="D59" s="289"/>
      <c r="E59" s="289"/>
      <c r="F59" s="289"/>
      <c r="G59" s="289"/>
      <c r="H59" s="289"/>
      <c r="I59" s="289"/>
      <c r="J59" s="289"/>
      <c r="K59" s="289"/>
      <c r="L59" s="289"/>
      <c r="M59" s="289"/>
      <c r="N59" s="289"/>
      <c r="O59" s="289"/>
    </row>
    <row r="60" spans="1:16" x14ac:dyDescent="0.25">
      <c r="B60" s="289"/>
      <c r="C60" s="289"/>
      <c r="D60" s="289"/>
      <c r="E60" s="289"/>
      <c r="F60" s="289"/>
      <c r="G60" s="289"/>
      <c r="H60" s="289"/>
      <c r="I60" s="289"/>
      <c r="J60" s="289"/>
      <c r="K60" s="289"/>
      <c r="L60" s="289"/>
      <c r="M60" s="289"/>
      <c r="N60" s="289"/>
      <c r="O60" s="289"/>
    </row>
    <row r="61" spans="1:16" x14ac:dyDescent="0.25">
      <c r="B61" s="2"/>
      <c r="C61" s="2"/>
      <c r="D61" s="2"/>
      <c r="E61" s="2"/>
      <c r="F61" s="2"/>
      <c r="G61" s="2"/>
      <c r="H61" s="2"/>
      <c r="I61" s="2"/>
      <c r="J61" s="2"/>
      <c r="K61" s="2"/>
      <c r="L61" s="2"/>
      <c r="M61" s="2"/>
      <c r="N61" s="2"/>
      <c r="O61" s="2"/>
    </row>
    <row r="62" spans="1:16" ht="15" customHeight="1" x14ac:dyDescent="0.25">
      <c r="G62" s="26" t="s">
        <v>37</v>
      </c>
      <c r="H62" s="4"/>
      <c r="I62" s="4"/>
      <c r="L62" s="292" t="s">
        <v>58</v>
      </c>
      <c r="M62" s="293"/>
      <c r="N62" s="293"/>
      <c r="O62" s="293"/>
    </row>
    <row r="63" spans="1:16" ht="15" customHeight="1" x14ac:dyDescent="0.25">
      <c r="B63" s="16" t="s">
        <v>34</v>
      </c>
      <c r="C63" s="12">
        <v>50000</v>
      </c>
      <c r="D63" s="7"/>
      <c r="E63" s="3" t="s">
        <v>49</v>
      </c>
      <c r="F63" s="3">
        <v>512</v>
      </c>
      <c r="G63" s="27">
        <f>($C$63-$C$64)/C65</f>
        <v>8000</v>
      </c>
      <c r="H63" s="30">
        <f>G63/F63</f>
        <v>15.625</v>
      </c>
      <c r="I63" s="31" t="s">
        <v>51</v>
      </c>
      <c r="J63" s="32" t="s">
        <v>53</v>
      </c>
      <c r="K63" s="4"/>
      <c r="L63" s="44" t="s">
        <v>45</v>
      </c>
      <c r="M63" s="27">
        <f>($C$63-$C$64)/C65</f>
        <v>8000</v>
      </c>
      <c r="N63" s="46"/>
      <c r="O63" s="46"/>
    </row>
    <row r="64" spans="1:16" ht="15" customHeight="1" x14ac:dyDescent="0.25">
      <c r="B64" s="16" t="s">
        <v>36</v>
      </c>
      <c r="C64" s="13">
        <f>C63*0.2</f>
        <v>10000</v>
      </c>
      <c r="D64" s="7"/>
      <c r="E64" s="25" t="s">
        <v>50</v>
      </c>
      <c r="F64" s="25">
        <v>261</v>
      </c>
      <c r="G64" s="27">
        <f>($C$63-$C$64)/C65</f>
        <v>8000</v>
      </c>
      <c r="H64" s="30">
        <f>G64/F64</f>
        <v>30.651340996168582</v>
      </c>
      <c r="I64" s="31" t="s">
        <v>52</v>
      </c>
      <c r="J64" s="32" t="s">
        <v>54</v>
      </c>
      <c r="L64" s="44" t="s">
        <v>59</v>
      </c>
      <c r="M64" s="45">
        <f>F63*$M$69</f>
        <v>5298.8357050452778</v>
      </c>
      <c r="N64" s="46"/>
      <c r="O64" s="42">
        <f>M64/M63</f>
        <v>0.66235446313065971</v>
      </c>
      <c r="P64" s="43" t="s">
        <v>63</v>
      </c>
    </row>
    <row r="65" spans="2:16" x14ac:dyDescent="0.25">
      <c r="B65" s="16" t="s">
        <v>40</v>
      </c>
      <c r="C65" s="11">
        <v>5</v>
      </c>
      <c r="D65" s="7"/>
      <c r="G65" s="4" t="s">
        <v>38</v>
      </c>
      <c r="I65" s="7"/>
      <c r="J65" s="7"/>
      <c r="L65" s="44" t="s">
        <v>60</v>
      </c>
      <c r="M65" s="45">
        <f>F64*$M$69</f>
        <v>2701.1642949547218</v>
      </c>
      <c r="N65" s="46"/>
      <c r="O65" s="42">
        <f>M65/M63</f>
        <v>0.33764553686934023</v>
      </c>
      <c r="P65" s="43" t="s">
        <v>64</v>
      </c>
    </row>
    <row r="66" spans="2:16" x14ac:dyDescent="0.25">
      <c r="B66" s="16" t="s">
        <v>35</v>
      </c>
      <c r="C66" s="11"/>
      <c r="D66" s="7"/>
      <c r="I66" s="4"/>
      <c r="J66" s="4"/>
      <c r="L66" s="47"/>
      <c r="M66" s="46"/>
      <c r="N66" s="46"/>
      <c r="O66" s="46"/>
    </row>
    <row r="67" spans="2:16" x14ac:dyDescent="0.25">
      <c r="B67" s="17"/>
      <c r="C67" s="18"/>
      <c r="D67" s="7"/>
      <c r="I67" s="4"/>
      <c r="J67" s="4"/>
      <c r="L67" s="47"/>
      <c r="M67" s="46"/>
      <c r="N67" s="46"/>
      <c r="O67" s="46"/>
    </row>
    <row r="68" spans="2:16" x14ac:dyDescent="0.25">
      <c r="L68" s="5" t="s">
        <v>61</v>
      </c>
      <c r="M68" s="39">
        <f>F63+F64</f>
        <v>773</v>
      </c>
      <c r="N68" s="46"/>
      <c r="O68" s="46"/>
    </row>
    <row r="69" spans="2:16" ht="15" customHeight="1" x14ac:dyDescent="0.25">
      <c r="E69" s="18"/>
      <c r="F69" s="28"/>
      <c r="G69" s="29"/>
      <c r="H69" s="29"/>
      <c r="L69" s="299" t="s">
        <v>62</v>
      </c>
      <c r="M69" s="300">
        <f>M63/M68</f>
        <v>10.349288486416558</v>
      </c>
      <c r="N69" s="46"/>
      <c r="O69" s="46"/>
    </row>
    <row r="70" spans="2:16" x14ac:dyDescent="0.25">
      <c r="E70" s="18"/>
      <c r="F70" s="28"/>
      <c r="G70" s="18"/>
      <c r="H70" s="18"/>
      <c r="L70" s="299"/>
      <c r="M70" s="284"/>
      <c r="N70" s="46"/>
      <c r="O70" s="46"/>
    </row>
    <row r="71" spans="2:16" x14ac:dyDescent="0.25">
      <c r="E71" s="18"/>
      <c r="F71" s="28"/>
      <c r="G71" s="18"/>
      <c r="H71" s="18"/>
      <c r="L71" s="47"/>
      <c r="M71" s="46"/>
      <c r="N71" s="46"/>
      <c r="O71" s="46"/>
    </row>
    <row r="72" spans="2:16" x14ac:dyDescent="0.25">
      <c r="L72" s="47"/>
      <c r="M72" s="46"/>
      <c r="N72" s="46"/>
      <c r="O72" s="46"/>
    </row>
  </sheetData>
  <mergeCells count="44">
    <mergeCell ref="L69:L70"/>
    <mergeCell ref="M69:M70"/>
    <mergeCell ref="K52:K53"/>
    <mergeCell ref="H8:P9"/>
    <mergeCell ref="H10:P11"/>
    <mergeCell ref="B40:O41"/>
    <mergeCell ref="C51:C53"/>
    <mergeCell ref="B51:B53"/>
    <mergeCell ref="B59:O60"/>
    <mergeCell ref="B49:O49"/>
    <mergeCell ref="G33:H33"/>
    <mergeCell ref="G35:H35"/>
    <mergeCell ref="G43:H43"/>
    <mergeCell ref="G45:H45"/>
    <mergeCell ref="I52:I53"/>
    <mergeCell ref="G16:H16"/>
    <mergeCell ref="L62:O62"/>
    <mergeCell ref="B1:O2"/>
    <mergeCell ref="B4:C5"/>
    <mergeCell ref="H6:P7"/>
    <mergeCell ref="D6:D7"/>
    <mergeCell ref="E6:E7"/>
    <mergeCell ref="F6:G7"/>
    <mergeCell ref="B6:C7"/>
    <mergeCell ref="F5:G5"/>
    <mergeCell ref="J52:J53"/>
    <mergeCell ref="E51:E53"/>
    <mergeCell ref="F51:F53"/>
    <mergeCell ref="D51:D53"/>
    <mergeCell ref="D4:G4"/>
    <mergeCell ref="F10:G11"/>
    <mergeCell ref="E10:E11"/>
    <mergeCell ref="E8:E9"/>
    <mergeCell ref="F8:G9"/>
    <mergeCell ref="B30:O31"/>
    <mergeCell ref="D10:D11"/>
    <mergeCell ref="B10:C11"/>
    <mergeCell ref="B8:C9"/>
    <mergeCell ref="D8:D9"/>
    <mergeCell ref="B13:O14"/>
    <mergeCell ref="B22:O22"/>
    <mergeCell ref="G18:H18"/>
    <mergeCell ref="G24:H24"/>
    <mergeCell ref="G26:H2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FEBD3-94B5-4B7C-8DE9-32BB77B9A1B3}">
  <dimension ref="A1:O21"/>
  <sheetViews>
    <sheetView topLeftCell="A4" zoomScaleNormal="100" workbookViewId="0">
      <selection activeCell="G16" sqref="G16"/>
    </sheetView>
  </sheetViews>
  <sheetFormatPr baseColWidth="10" defaultRowHeight="15" x14ac:dyDescent="0.25"/>
  <cols>
    <col min="2" max="2" width="15.28515625" customWidth="1"/>
    <col min="3" max="3" width="9.5703125" customWidth="1"/>
    <col min="6" max="6" width="26.5703125" customWidth="1"/>
    <col min="7" max="7" width="10.85546875" customWidth="1"/>
    <col min="12" max="12" width="15.5703125" customWidth="1"/>
    <col min="13" max="13" width="11.140625" customWidth="1"/>
  </cols>
  <sheetData>
    <row r="1" spans="1:15" ht="15" customHeight="1" x14ac:dyDescent="0.25">
      <c r="A1" s="1" t="s">
        <v>65</v>
      </c>
      <c r="B1" s="289" t="s">
        <v>66</v>
      </c>
      <c r="C1" s="289"/>
      <c r="D1" s="289"/>
      <c r="E1" s="289"/>
      <c r="F1" s="289"/>
      <c r="G1" s="289"/>
      <c r="H1" s="289"/>
      <c r="I1" s="289"/>
      <c r="J1" s="289"/>
      <c r="K1" s="289"/>
      <c r="L1" s="289"/>
      <c r="M1" s="289"/>
      <c r="N1" s="289"/>
      <c r="O1" s="289"/>
    </row>
    <row r="2" spans="1:15" x14ac:dyDescent="0.25">
      <c r="B2" s="289"/>
      <c r="C2" s="289"/>
      <c r="D2" s="289"/>
      <c r="E2" s="289"/>
      <c r="F2" s="289"/>
      <c r="G2" s="289"/>
      <c r="H2" s="289"/>
      <c r="I2" s="289"/>
      <c r="J2" s="289"/>
      <c r="K2" s="289"/>
      <c r="L2" s="289"/>
      <c r="M2" s="289"/>
      <c r="N2" s="289"/>
      <c r="O2" s="289"/>
    </row>
    <row r="3" spans="1:15" x14ac:dyDescent="0.25">
      <c r="B3" s="289"/>
      <c r="C3" s="289"/>
      <c r="D3" s="289"/>
      <c r="E3" s="289"/>
      <c r="F3" s="289"/>
      <c r="G3" s="289"/>
      <c r="H3" s="289"/>
      <c r="I3" s="289"/>
      <c r="J3" s="289"/>
      <c r="K3" s="289"/>
      <c r="L3" s="289"/>
      <c r="M3" s="289"/>
      <c r="N3" s="289"/>
      <c r="O3" s="289"/>
    </row>
    <row r="4" spans="1:15" x14ac:dyDescent="0.25">
      <c r="B4" s="7"/>
      <c r="C4" s="7"/>
      <c r="D4" s="7"/>
      <c r="E4" s="7"/>
      <c r="F4" s="7"/>
      <c r="G4" s="7"/>
      <c r="H4" s="7"/>
      <c r="I4" s="7"/>
      <c r="J4" s="7"/>
      <c r="K4" s="7"/>
      <c r="L4" s="7"/>
      <c r="M4" s="7"/>
      <c r="N4" s="7"/>
      <c r="O4" s="7"/>
    </row>
    <row r="5" spans="1:15" x14ac:dyDescent="0.25">
      <c r="B5" s="296" t="s">
        <v>112</v>
      </c>
      <c r="C5" s="296"/>
      <c r="F5" s="55" t="s">
        <v>106</v>
      </c>
      <c r="G5" s="55">
        <v>25000</v>
      </c>
      <c r="L5" s="304" t="s">
        <v>133</v>
      </c>
      <c r="M5" s="304"/>
    </row>
    <row r="6" spans="1:15" x14ac:dyDescent="0.25">
      <c r="B6" s="72" t="s">
        <v>106</v>
      </c>
      <c r="C6" s="72">
        <v>25000</v>
      </c>
      <c r="F6" s="55" t="s">
        <v>107</v>
      </c>
      <c r="G6" s="74">
        <v>20</v>
      </c>
      <c r="L6" s="48" t="s">
        <v>128</v>
      </c>
      <c r="M6" s="48">
        <v>10000</v>
      </c>
    </row>
    <row r="7" spans="1:15" x14ac:dyDescent="0.25">
      <c r="B7" s="72" t="s">
        <v>107</v>
      </c>
      <c r="C7" s="73">
        <v>20</v>
      </c>
      <c r="F7" s="75" t="s">
        <v>113</v>
      </c>
      <c r="G7" s="76">
        <f>G5*G6</f>
        <v>500000</v>
      </c>
      <c r="L7" s="48" t="s">
        <v>129</v>
      </c>
      <c r="M7" s="89">
        <f>M6*C7</f>
        <v>200000</v>
      </c>
    </row>
    <row r="8" spans="1:15" x14ac:dyDescent="0.25">
      <c r="B8" s="72" t="s">
        <v>108</v>
      </c>
      <c r="C8" s="78">
        <v>150000</v>
      </c>
      <c r="F8" s="50"/>
      <c r="G8" s="50"/>
      <c r="L8" s="48" t="s">
        <v>130</v>
      </c>
      <c r="M8" s="90">
        <f>G14*M6</f>
        <v>136000</v>
      </c>
    </row>
    <row r="9" spans="1:15" x14ac:dyDescent="0.25">
      <c r="B9" s="72" t="s">
        <v>109</v>
      </c>
      <c r="C9" s="78">
        <v>80000</v>
      </c>
      <c r="F9" s="55" t="s">
        <v>114</v>
      </c>
      <c r="G9" s="79">
        <f>C8+C9+C10+C11</f>
        <v>340000</v>
      </c>
      <c r="L9" s="48" t="s">
        <v>131</v>
      </c>
      <c r="M9" s="89">
        <f>M7-M8</f>
        <v>64000</v>
      </c>
    </row>
    <row r="10" spans="1:15" x14ac:dyDescent="0.25">
      <c r="B10" s="72" t="s">
        <v>110</v>
      </c>
      <c r="C10" s="78">
        <v>50000</v>
      </c>
      <c r="F10" s="50"/>
      <c r="G10" s="50"/>
      <c r="L10" s="87"/>
      <c r="M10" s="87"/>
    </row>
    <row r="11" spans="1:15" x14ac:dyDescent="0.25">
      <c r="B11" s="72" t="s">
        <v>111</v>
      </c>
      <c r="C11" s="78">
        <v>60000</v>
      </c>
      <c r="F11" s="55" t="s">
        <v>115</v>
      </c>
      <c r="G11" s="79">
        <f>G7-G9</f>
        <v>160000</v>
      </c>
      <c r="L11" s="48" t="s">
        <v>132</v>
      </c>
      <c r="M11" s="88">
        <f>M9/M8</f>
        <v>0.47058823529411764</v>
      </c>
    </row>
    <row r="12" spans="1:15" x14ac:dyDescent="0.25">
      <c r="B12" s="299" t="s">
        <v>120</v>
      </c>
      <c r="C12" s="305">
        <v>0.3</v>
      </c>
      <c r="F12" s="55" t="s">
        <v>116</v>
      </c>
      <c r="G12" s="77">
        <f>G11/C6</f>
        <v>6.4</v>
      </c>
      <c r="H12" t="s">
        <v>117</v>
      </c>
    </row>
    <row r="13" spans="1:15" x14ac:dyDescent="0.25">
      <c r="B13" s="299"/>
      <c r="C13" s="305"/>
    </row>
    <row r="14" spans="1:15" x14ac:dyDescent="0.25">
      <c r="F14" s="75" t="s">
        <v>118</v>
      </c>
      <c r="G14" s="77">
        <f>G9/C6</f>
        <v>13.6</v>
      </c>
    </row>
    <row r="15" spans="1:15" x14ac:dyDescent="0.25">
      <c r="F15" s="81" t="s">
        <v>119</v>
      </c>
      <c r="G15" s="82">
        <f>G12/G14</f>
        <v>0.4705882352941177</v>
      </c>
      <c r="H15" s="80"/>
    </row>
    <row r="17" spans="2:12" x14ac:dyDescent="0.25">
      <c r="B17" s="85" t="s">
        <v>121</v>
      </c>
      <c r="C17" s="309"/>
      <c r="D17" s="309"/>
      <c r="E17" s="309"/>
      <c r="F17" s="309"/>
      <c r="G17" s="309"/>
      <c r="H17" s="309"/>
      <c r="I17" s="309"/>
      <c r="J17" s="309"/>
      <c r="K17" s="309"/>
      <c r="L17" s="309"/>
    </row>
    <row r="18" spans="2:12" x14ac:dyDescent="0.25">
      <c r="B18" s="85" t="s">
        <v>122</v>
      </c>
      <c r="C18" s="309" t="s">
        <v>126</v>
      </c>
      <c r="D18" s="309"/>
      <c r="E18" s="309"/>
      <c r="F18" s="309"/>
      <c r="G18" s="309"/>
      <c r="H18" s="309"/>
      <c r="I18" s="309"/>
      <c r="J18" s="309"/>
      <c r="K18" s="309"/>
      <c r="L18" s="309"/>
    </row>
    <row r="19" spans="2:12" x14ac:dyDescent="0.25">
      <c r="B19" s="307" t="s">
        <v>124</v>
      </c>
      <c r="C19" s="306" t="s">
        <v>125</v>
      </c>
      <c r="D19" s="306"/>
      <c r="E19" s="306"/>
      <c r="F19" s="306"/>
      <c r="G19" s="306"/>
      <c r="H19" s="306"/>
      <c r="I19" s="306"/>
      <c r="J19" s="306"/>
      <c r="K19" s="306"/>
      <c r="L19" s="306"/>
    </row>
    <row r="20" spans="2:12" x14ac:dyDescent="0.25">
      <c r="B20" s="308"/>
      <c r="C20" s="306"/>
      <c r="D20" s="306"/>
      <c r="E20" s="306"/>
      <c r="F20" s="306"/>
      <c r="G20" s="306"/>
      <c r="H20" s="306"/>
      <c r="I20" s="306"/>
      <c r="J20" s="306"/>
      <c r="K20" s="306"/>
      <c r="L20" s="306"/>
    </row>
    <row r="21" spans="2:12" x14ac:dyDescent="0.25">
      <c r="B21" s="85" t="s">
        <v>123</v>
      </c>
      <c r="C21" s="301" t="s">
        <v>127</v>
      </c>
      <c r="D21" s="302"/>
      <c r="E21" s="302"/>
      <c r="F21" s="302"/>
      <c r="G21" s="302"/>
      <c r="H21" s="302"/>
      <c r="I21" s="302"/>
      <c r="J21" s="302"/>
      <c r="K21" s="302"/>
      <c r="L21" s="303"/>
    </row>
  </sheetData>
  <mergeCells count="10">
    <mergeCell ref="C21:L21"/>
    <mergeCell ref="L5:M5"/>
    <mergeCell ref="B1:O3"/>
    <mergeCell ref="B5:C5"/>
    <mergeCell ref="B12:B13"/>
    <mergeCell ref="C12:C13"/>
    <mergeCell ref="C19:L20"/>
    <mergeCell ref="B19:B20"/>
    <mergeCell ref="C18:L18"/>
    <mergeCell ref="C17:L1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26F0C-F25F-424C-AD76-D258EC3296D2}">
  <dimension ref="A1:O22"/>
  <sheetViews>
    <sheetView topLeftCell="A4" workbookViewId="0">
      <selection activeCell="C18" sqref="C18:L18"/>
    </sheetView>
  </sheetViews>
  <sheetFormatPr baseColWidth="10" defaultRowHeight="15" x14ac:dyDescent="0.25"/>
  <cols>
    <col min="2" max="2" width="16.28515625" customWidth="1"/>
    <col min="3" max="3" width="11.42578125" customWidth="1"/>
    <col min="6" max="6" width="26.7109375" customWidth="1"/>
  </cols>
  <sheetData>
    <row r="1" spans="1:15" ht="15" customHeight="1" x14ac:dyDescent="0.25">
      <c r="A1" s="1" t="s">
        <v>67</v>
      </c>
      <c r="B1" s="289" t="s">
        <v>68</v>
      </c>
      <c r="C1" s="289"/>
      <c r="D1" s="289"/>
      <c r="E1" s="289"/>
      <c r="F1" s="289"/>
      <c r="G1" s="289"/>
      <c r="H1" s="289"/>
      <c r="I1" s="289"/>
      <c r="J1" s="289"/>
      <c r="K1" s="289"/>
      <c r="L1" s="289"/>
      <c r="M1" s="289"/>
      <c r="N1" s="289"/>
      <c r="O1" s="289"/>
    </row>
    <row r="2" spans="1:15" x14ac:dyDescent="0.25">
      <c r="B2" s="289"/>
      <c r="C2" s="289"/>
      <c r="D2" s="289"/>
      <c r="E2" s="289"/>
      <c r="F2" s="289"/>
      <c r="G2" s="289"/>
      <c r="H2" s="289"/>
      <c r="I2" s="289"/>
      <c r="J2" s="289"/>
      <c r="K2" s="289"/>
      <c r="L2" s="289"/>
      <c r="M2" s="289"/>
      <c r="N2" s="289"/>
      <c r="O2" s="289"/>
    </row>
    <row r="3" spans="1:15" x14ac:dyDescent="0.25">
      <c r="B3" s="289"/>
      <c r="C3" s="289"/>
      <c r="D3" s="289"/>
      <c r="E3" s="289"/>
      <c r="F3" s="289"/>
      <c r="G3" s="289"/>
      <c r="H3" s="289"/>
      <c r="I3" s="289"/>
      <c r="J3" s="289"/>
      <c r="K3" s="289"/>
      <c r="L3" s="289"/>
      <c r="M3" s="289"/>
      <c r="N3" s="289"/>
      <c r="O3" s="289"/>
    </row>
    <row r="4" spans="1:15" x14ac:dyDescent="0.25">
      <c r="B4" s="289"/>
      <c r="C4" s="289"/>
      <c r="D4" s="289"/>
      <c r="E4" s="289"/>
      <c r="F4" s="289"/>
      <c r="G4" s="289"/>
      <c r="H4" s="289"/>
      <c r="I4" s="289"/>
      <c r="J4" s="289"/>
      <c r="K4" s="289"/>
      <c r="L4" s="289"/>
      <c r="M4" s="289"/>
      <c r="N4" s="289"/>
      <c r="O4" s="289"/>
    </row>
    <row r="5" spans="1:15" x14ac:dyDescent="0.25">
      <c r="B5" s="4"/>
      <c r="C5" s="4"/>
      <c r="D5" s="4"/>
      <c r="E5" s="4"/>
      <c r="F5" s="4"/>
      <c r="G5" s="4"/>
      <c r="H5" s="4"/>
      <c r="I5" s="4"/>
      <c r="J5" s="4"/>
      <c r="K5" s="4"/>
      <c r="L5" s="4"/>
      <c r="M5" s="4"/>
      <c r="N5" s="4"/>
      <c r="O5" s="4"/>
    </row>
    <row r="6" spans="1:15" x14ac:dyDescent="0.25">
      <c r="B6" s="55" t="s">
        <v>134</v>
      </c>
      <c r="C6" s="55">
        <v>16000</v>
      </c>
      <c r="D6" t="s">
        <v>135</v>
      </c>
      <c r="F6" s="55" t="s">
        <v>106</v>
      </c>
      <c r="G6" s="55">
        <f>C6</f>
        <v>16000</v>
      </c>
    </row>
    <row r="7" spans="1:15" x14ac:dyDescent="0.25">
      <c r="B7" s="55" t="s">
        <v>136</v>
      </c>
      <c r="C7" s="79">
        <v>150000</v>
      </c>
      <c r="F7" s="55" t="s">
        <v>107</v>
      </c>
      <c r="G7" s="79">
        <f>C12</f>
        <v>16</v>
      </c>
    </row>
    <row r="8" spans="1:15" x14ac:dyDescent="0.25">
      <c r="B8" s="55" t="s">
        <v>137</v>
      </c>
      <c r="C8" s="79">
        <v>50000</v>
      </c>
      <c r="F8" s="75" t="s">
        <v>113</v>
      </c>
      <c r="G8" s="79">
        <f>G6*G7</f>
        <v>256000</v>
      </c>
    </row>
    <row r="9" spans="1:15" x14ac:dyDescent="0.25">
      <c r="B9" s="55" t="s">
        <v>4</v>
      </c>
      <c r="C9" s="79">
        <v>30000</v>
      </c>
      <c r="F9" s="50"/>
      <c r="G9" s="50"/>
    </row>
    <row r="10" spans="1:15" x14ac:dyDescent="0.25">
      <c r="B10" s="55" t="s">
        <v>111</v>
      </c>
      <c r="C10" s="79">
        <v>6000</v>
      </c>
      <c r="F10" s="55" t="s">
        <v>114</v>
      </c>
      <c r="G10" s="79">
        <f>SUM(C7:C11)</f>
        <v>269000</v>
      </c>
    </row>
    <row r="11" spans="1:15" x14ac:dyDescent="0.25">
      <c r="B11" s="53" t="s">
        <v>138</v>
      </c>
      <c r="C11" s="79">
        <v>33000</v>
      </c>
      <c r="F11" s="50"/>
      <c r="G11" s="50"/>
    </row>
    <row r="12" spans="1:15" x14ac:dyDescent="0.25">
      <c r="A12" s="310" t="s">
        <v>139</v>
      </c>
      <c r="B12" s="310"/>
      <c r="C12" s="79">
        <v>16</v>
      </c>
      <c r="D12" t="s">
        <v>140</v>
      </c>
      <c r="F12" s="55" t="s">
        <v>115</v>
      </c>
      <c r="G12" s="79">
        <f>G8-G10</f>
        <v>-13000</v>
      </c>
    </row>
    <row r="13" spans="1:15" ht="15" customHeight="1" x14ac:dyDescent="0.25">
      <c r="B13" s="299" t="s">
        <v>142</v>
      </c>
      <c r="C13" s="311">
        <v>0.1</v>
      </c>
      <c r="F13" s="55" t="s">
        <v>116</v>
      </c>
      <c r="G13" s="77">
        <f>G12/G6</f>
        <v>-0.8125</v>
      </c>
    </row>
    <row r="14" spans="1:15" x14ac:dyDescent="0.25">
      <c r="B14" s="299"/>
      <c r="C14" s="284"/>
      <c r="G14" s="50"/>
    </row>
    <row r="15" spans="1:15" x14ac:dyDescent="0.25">
      <c r="B15" s="299"/>
      <c r="C15" s="284"/>
      <c r="F15" s="75" t="s">
        <v>118</v>
      </c>
      <c r="G15" s="77">
        <f>G10/G6</f>
        <v>16.8125</v>
      </c>
    </row>
    <row r="16" spans="1:15" x14ac:dyDescent="0.25">
      <c r="F16" s="81" t="s">
        <v>119</v>
      </c>
      <c r="G16" s="94">
        <f>G13/G15</f>
        <v>-4.8327137546468404E-2</v>
      </c>
    </row>
    <row r="18" spans="2:12" x14ac:dyDescent="0.25">
      <c r="B18" s="85" t="s">
        <v>121</v>
      </c>
      <c r="C18" s="301" t="s">
        <v>141</v>
      </c>
      <c r="D18" s="302"/>
      <c r="E18" s="302"/>
      <c r="F18" s="302"/>
      <c r="G18" s="302"/>
      <c r="H18" s="302"/>
      <c r="I18" s="302"/>
      <c r="J18" s="302"/>
      <c r="K18" s="302"/>
      <c r="L18" s="303"/>
    </row>
    <row r="19" spans="2:12" x14ac:dyDescent="0.25">
      <c r="B19" s="85" t="s">
        <v>122</v>
      </c>
      <c r="C19" s="301" t="s">
        <v>141</v>
      </c>
      <c r="D19" s="302"/>
      <c r="E19" s="302"/>
      <c r="F19" s="302"/>
      <c r="G19" s="302"/>
      <c r="H19" s="302"/>
      <c r="I19" s="302"/>
      <c r="J19" s="302"/>
      <c r="K19" s="302"/>
      <c r="L19" s="303"/>
    </row>
    <row r="20" spans="2:12" x14ac:dyDescent="0.25">
      <c r="B20" s="307" t="s">
        <v>124</v>
      </c>
      <c r="C20" s="306" t="s">
        <v>143</v>
      </c>
      <c r="D20" s="306"/>
      <c r="E20" s="306"/>
      <c r="F20" s="306"/>
      <c r="G20" s="306"/>
      <c r="H20" s="306"/>
      <c r="I20" s="306"/>
      <c r="J20" s="306"/>
      <c r="K20" s="306"/>
      <c r="L20" s="306"/>
    </row>
    <row r="21" spans="2:12" x14ac:dyDescent="0.25">
      <c r="B21" s="308"/>
      <c r="C21" s="306"/>
      <c r="D21" s="306"/>
      <c r="E21" s="306"/>
      <c r="F21" s="306"/>
      <c r="G21" s="306"/>
      <c r="H21" s="306"/>
      <c r="I21" s="306"/>
      <c r="J21" s="306"/>
      <c r="K21" s="306"/>
      <c r="L21" s="306"/>
    </row>
    <row r="22" spans="2:12" x14ac:dyDescent="0.25">
      <c r="B22" s="85" t="s">
        <v>123</v>
      </c>
      <c r="C22" s="301" t="s">
        <v>127</v>
      </c>
      <c r="D22" s="302"/>
      <c r="E22" s="302"/>
      <c r="F22" s="302"/>
      <c r="G22" s="302"/>
      <c r="H22" s="302"/>
      <c r="I22" s="302"/>
      <c r="J22" s="302"/>
      <c r="K22" s="302"/>
      <c r="L22" s="303"/>
    </row>
  </sheetData>
  <mergeCells count="9">
    <mergeCell ref="C22:L22"/>
    <mergeCell ref="C18:L18"/>
    <mergeCell ref="C19:L19"/>
    <mergeCell ref="B1:O4"/>
    <mergeCell ref="A12:B12"/>
    <mergeCell ref="B20:B21"/>
    <mergeCell ref="B13:B15"/>
    <mergeCell ref="C13:C15"/>
    <mergeCell ref="C20:L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A139B-87AE-4193-B53A-CA33F4723D0D}">
  <dimension ref="A1:O25"/>
  <sheetViews>
    <sheetView topLeftCell="A4" workbookViewId="0">
      <selection activeCell="M18" sqref="M18"/>
    </sheetView>
  </sheetViews>
  <sheetFormatPr baseColWidth="10" defaultRowHeight="15" x14ac:dyDescent="0.25"/>
  <cols>
    <col min="2" max="2" width="12.28515625" customWidth="1"/>
    <col min="4" max="4" width="8.7109375" customWidth="1"/>
    <col min="5" max="5" width="13.28515625" customWidth="1"/>
    <col min="13" max="13" width="13" customWidth="1"/>
    <col min="14" max="14" width="11.42578125" customWidth="1"/>
    <col min="15" max="15" width="11.28515625" customWidth="1"/>
  </cols>
  <sheetData>
    <row r="1" spans="1:15" ht="15" customHeight="1" x14ac:dyDescent="0.25">
      <c r="A1" s="1" t="s">
        <v>69</v>
      </c>
      <c r="B1" s="289" t="s">
        <v>70</v>
      </c>
      <c r="C1" s="289"/>
      <c r="D1" s="289"/>
      <c r="E1" s="289"/>
      <c r="F1" s="289"/>
      <c r="G1" s="289"/>
      <c r="H1" s="289"/>
      <c r="I1" s="289"/>
      <c r="J1" s="289"/>
      <c r="K1" s="289"/>
      <c r="L1" s="289"/>
      <c r="M1" s="289"/>
      <c r="N1" s="289"/>
      <c r="O1" s="289"/>
    </row>
    <row r="2" spans="1:15" x14ac:dyDescent="0.25">
      <c r="B2" s="289"/>
      <c r="C2" s="289"/>
      <c r="D2" s="289"/>
      <c r="E2" s="289"/>
      <c r="F2" s="289"/>
      <c r="G2" s="289"/>
      <c r="H2" s="289"/>
      <c r="I2" s="289"/>
      <c r="J2" s="289"/>
      <c r="K2" s="289"/>
      <c r="L2" s="289"/>
      <c r="M2" s="289"/>
      <c r="N2" s="289"/>
      <c r="O2" s="289"/>
    </row>
    <row r="3" spans="1:15" x14ac:dyDescent="0.25">
      <c r="B3" s="289"/>
      <c r="C3" s="289"/>
      <c r="D3" s="289"/>
      <c r="E3" s="289"/>
      <c r="F3" s="289"/>
      <c r="G3" s="289"/>
      <c r="H3" s="289"/>
      <c r="I3" s="289"/>
      <c r="J3" s="289"/>
      <c r="K3" s="289"/>
      <c r="L3" s="289"/>
      <c r="M3" s="289"/>
      <c r="N3" s="289"/>
      <c r="O3" s="289"/>
    </row>
    <row r="4" spans="1:15" x14ac:dyDescent="0.25">
      <c r="B4" s="289"/>
      <c r="C4" s="289"/>
      <c r="D4" s="289"/>
      <c r="E4" s="289"/>
      <c r="F4" s="289"/>
      <c r="G4" s="289"/>
      <c r="H4" s="289"/>
      <c r="I4" s="289"/>
      <c r="J4" s="289"/>
      <c r="K4" s="289"/>
      <c r="L4" s="289"/>
      <c r="M4" s="289"/>
      <c r="N4" s="289"/>
      <c r="O4" s="289"/>
    </row>
    <row r="5" spans="1:15" x14ac:dyDescent="0.25">
      <c r="B5" s="289"/>
      <c r="C5" s="289"/>
      <c r="D5" s="289"/>
      <c r="E5" s="289"/>
      <c r="F5" s="289"/>
      <c r="G5" s="289"/>
      <c r="H5" s="289"/>
      <c r="I5" s="289"/>
      <c r="J5" s="289"/>
      <c r="K5" s="289"/>
      <c r="L5" s="289"/>
      <c r="M5" s="289"/>
      <c r="N5" s="289"/>
      <c r="O5" s="289"/>
    </row>
    <row r="6" spans="1:15" x14ac:dyDescent="0.25">
      <c r="B6" s="289"/>
      <c r="C6" s="289"/>
      <c r="D6" s="289"/>
      <c r="E6" s="289"/>
      <c r="F6" s="289"/>
      <c r="G6" s="289"/>
      <c r="H6" s="289"/>
      <c r="I6" s="289"/>
      <c r="J6" s="289"/>
      <c r="K6" s="289"/>
      <c r="L6" s="289"/>
      <c r="M6" s="289"/>
      <c r="N6" s="289"/>
      <c r="O6" s="289"/>
    </row>
    <row r="7" spans="1:15" x14ac:dyDescent="0.25">
      <c r="B7" s="289"/>
      <c r="C7" s="289"/>
      <c r="D7" s="289"/>
      <c r="E7" s="289"/>
      <c r="F7" s="289"/>
      <c r="G7" s="289"/>
      <c r="H7" s="289"/>
      <c r="I7" s="289"/>
      <c r="J7" s="289"/>
      <c r="K7" s="289"/>
      <c r="L7" s="289"/>
      <c r="M7" s="289"/>
      <c r="N7" s="289"/>
      <c r="O7" s="289"/>
    </row>
    <row r="8" spans="1:15" x14ac:dyDescent="0.25">
      <c r="B8" s="289"/>
      <c r="C8" s="289"/>
      <c r="D8" s="289"/>
      <c r="E8" s="289"/>
      <c r="F8" s="289"/>
      <c r="G8" s="289"/>
      <c r="H8" s="289"/>
      <c r="I8" s="289"/>
      <c r="J8" s="289"/>
      <c r="K8" s="289"/>
      <c r="L8" s="289"/>
      <c r="M8" s="289"/>
      <c r="N8" s="289"/>
      <c r="O8" s="289"/>
    </row>
    <row r="9" spans="1:15" x14ac:dyDescent="0.25">
      <c r="B9" s="289"/>
      <c r="C9" s="289"/>
      <c r="D9" s="289"/>
      <c r="E9" s="289"/>
      <c r="F9" s="289"/>
      <c r="G9" s="289"/>
      <c r="H9" s="289"/>
      <c r="I9" s="289"/>
      <c r="J9" s="289"/>
      <c r="K9" s="289"/>
      <c r="L9" s="289"/>
      <c r="M9" s="289"/>
      <c r="N9" s="289"/>
      <c r="O9" s="289"/>
    </row>
    <row r="10" spans="1:15" x14ac:dyDescent="0.25">
      <c r="B10" s="289"/>
      <c r="C10" s="289"/>
      <c r="D10" s="289"/>
      <c r="E10" s="289"/>
      <c r="F10" s="289"/>
      <c r="G10" s="289"/>
      <c r="H10" s="289"/>
      <c r="I10" s="289"/>
      <c r="J10" s="289"/>
      <c r="K10" s="289"/>
      <c r="L10" s="289"/>
      <c r="M10" s="289"/>
      <c r="N10" s="289"/>
      <c r="O10" s="289"/>
    </row>
    <row r="11" spans="1:15" x14ac:dyDescent="0.25">
      <c r="B11" s="4"/>
      <c r="C11" s="4"/>
      <c r="D11" s="4"/>
      <c r="E11" s="4"/>
      <c r="F11" s="4"/>
      <c r="G11" s="4"/>
      <c r="H11" s="4"/>
      <c r="I11" s="4"/>
      <c r="J11" s="4"/>
      <c r="K11" s="4"/>
      <c r="L11" s="4"/>
      <c r="M11" s="4"/>
      <c r="N11" s="4"/>
      <c r="O11" s="4"/>
    </row>
    <row r="12" spans="1:15" ht="15.75" thickBot="1" x14ac:dyDescent="0.3"/>
    <row r="13" spans="1:15" x14ac:dyDescent="0.25">
      <c r="B13" s="3" t="s">
        <v>84</v>
      </c>
      <c r="C13" s="52">
        <v>15</v>
      </c>
      <c r="F13" s="52" t="s">
        <v>83</v>
      </c>
      <c r="G13" s="52" t="s">
        <v>82</v>
      </c>
      <c r="H13" s="52" t="s">
        <v>34</v>
      </c>
      <c r="I13" s="52" t="s">
        <v>55</v>
      </c>
      <c r="J13" s="52" t="s">
        <v>36</v>
      </c>
      <c r="K13" s="52" t="s">
        <v>40</v>
      </c>
      <c r="L13" s="56" t="s">
        <v>35</v>
      </c>
      <c r="M13" s="58" t="s">
        <v>89</v>
      </c>
      <c r="N13" s="59" t="s">
        <v>27</v>
      </c>
      <c r="O13" s="60" t="s">
        <v>43</v>
      </c>
    </row>
    <row r="14" spans="1:15" x14ac:dyDescent="0.25">
      <c r="B14" s="3" t="s">
        <v>85</v>
      </c>
      <c r="C14" s="52">
        <f>C13*12</f>
        <v>180</v>
      </c>
      <c r="E14" s="51" t="s">
        <v>77</v>
      </c>
      <c r="F14" s="3"/>
      <c r="G14" s="3"/>
      <c r="H14" s="3"/>
      <c r="I14" s="52">
        <v>800000</v>
      </c>
      <c r="J14" s="52">
        <f>I14*0.3</f>
        <v>240000</v>
      </c>
      <c r="L14" s="56">
        <v>25</v>
      </c>
      <c r="M14" s="61"/>
      <c r="N14" s="62">
        <f>(I14-J14)/L14</f>
        <v>22400</v>
      </c>
      <c r="O14" s="63">
        <f>I14*$C$15</f>
        <v>320000</v>
      </c>
    </row>
    <row r="15" spans="1:15" x14ac:dyDescent="0.25">
      <c r="B15" s="53" t="s">
        <v>86</v>
      </c>
      <c r="C15" s="42">
        <v>0.4</v>
      </c>
      <c r="E15" s="51" t="s">
        <v>78</v>
      </c>
      <c r="F15" s="3"/>
      <c r="G15" s="3"/>
      <c r="H15" s="52">
        <v>20000</v>
      </c>
      <c r="I15" s="3">
        <f>((H15-J15)*(L15/K15))+J15</f>
        <v>17000</v>
      </c>
      <c r="J15" s="52">
        <v>5000</v>
      </c>
      <c r="K15" s="52">
        <v>10</v>
      </c>
      <c r="L15" s="56">
        <v>8</v>
      </c>
      <c r="M15" s="61"/>
      <c r="N15" s="62">
        <f>(I15-J15)/L15</f>
        <v>1500</v>
      </c>
      <c r="O15" s="63">
        <f>I15*$C$15</f>
        <v>6800</v>
      </c>
    </row>
    <row r="16" spans="1:15" ht="15" customHeight="1" x14ac:dyDescent="0.25">
      <c r="A16" s="314" t="s">
        <v>87</v>
      </c>
      <c r="B16" s="314"/>
      <c r="C16" s="52">
        <v>3</v>
      </c>
      <c r="D16" t="s">
        <v>88</v>
      </c>
      <c r="E16" s="51" t="s">
        <v>79</v>
      </c>
      <c r="F16" s="3"/>
      <c r="G16" s="3"/>
      <c r="H16" s="3"/>
      <c r="I16" s="52">
        <v>12000</v>
      </c>
      <c r="J16" s="3"/>
      <c r="K16" s="3"/>
      <c r="L16" s="56">
        <v>5</v>
      </c>
      <c r="M16" s="61"/>
      <c r="N16" s="62">
        <f>(I16-J16)/L16</f>
        <v>2400</v>
      </c>
      <c r="O16" s="63">
        <f>I16*$C$15</f>
        <v>4800</v>
      </c>
    </row>
    <row r="17" spans="2:15" x14ac:dyDescent="0.25">
      <c r="B17" s="29"/>
      <c r="E17" s="51" t="s">
        <v>80</v>
      </c>
      <c r="F17" s="3"/>
      <c r="G17" s="3">
        <v>10000</v>
      </c>
      <c r="H17" s="3"/>
      <c r="I17" s="3"/>
      <c r="J17" s="3"/>
      <c r="K17" s="3"/>
      <c r="L17" s="57"/>
      <c r="M17" s="64">
        <f>G17*C13*12</f>
        <v>1800000</v>
      </c>
      <c r="N17" s="67"/>
      <c r="O17" s="63">
        <f>M17*$C$15*(3/12)</f>
        <v>180000</v>
      </c>
    </row>
    <row r="18" spans="2:15" x14ac:dyDescent="0.25">
      <c r="E18" s="51" t="s">
        <v>96</v>
      </c>
      <c r="F18" s="3">
        <v>50000</v>
      </c>
      <c r="G18" s="3"/>
      <c r="H18" s="3"/>
      <c r="I18" s="3"/>
      <c r="J18" s="3"/>
      <c r="K18" s="3"/>
      <c r="L18" s="57"/>
      <c r="M18" s="64">
        <f>F18*13</f>
        <v>650000</v>
      </c>
      <c r="N18" s="67"/>
      <c r="O18" s="63">
        <f t="shared" ref="O18:O19" si="0">M18*$C$15*(3/12)</f>
        <v>65000</v>
      </c>
    </row>
    <row r="19" spans="2:15" ht="15.75" thickBot="1" x14ac:dyDescent="0.3">
      <c r="E19" s="51" t="s">
        <v>81</v>
      </c>
      <c r="F19" s="3">
        <v>20000</v>
      </c>
      <c r="G19" s="3"/>
      <c r="H19" s="3"/>
      <c r="I19" s="3"/>
      <c r="J19" s="3"/>
      <c r="K19" s="3"/>
      <c r="L19" s="57"/>
      <c r="M19" s="65">
        <f>F19*12</f>
        <v>240000</v>
      </c>
      <c r="N19" s="68"/>
      <c r="O19" s="66">
        <f t="shared" si="0"/>
        <v>24000</v>
      </c>
    </row>
    <row r="21" spans="2:15" x14ac:dyDescent="0.25">
      <c r="L21" s="54" t="s">
        <v>90</v>
      </c>
      <c r="M21" s="69">
        <f>SUM(M14:M19)</f>
        <v>2690000</v>
      </c>
      <c r="N21" s="69">
        <f t="shared" ref="N21:O21" si="1">SUM(N14:N19)</f>
        <v>26300</v>
      </c>
      <c r="O21" s="69">
        <f t="shared" si="1"/>
        <v>600600</v>
      </c>
    </row>
    <row r="22" spans="2:15" ht="15" customHeight="1" x14ac:dyDescent="0.25">
      <c r="D22" s="36" t="s">
        <v>91</v>
      </c>
      <c r="E22" s="314" t="s">
        <v>56</v>
      </c>
      <c r="F22" s="314"/>
    </row>
    <row r="23" spans="2:15" x14ac:dyDescent="0.25">
      <c r="D23" s="36" t="s">
        <v>92</v>
      </c>
      <c r="E23" s="312" t="s">
        <v>93</v>
      </c>
      <c r="F23" s="312"/>
      <c r="L23" s="296" t="s">
        <v>97</v>
      </c>
      <c r="M23" s="296"/>
      <c r="N23" s="315">
        <f>SUM(M21:O21)</f>
        <v>3316900</v>
      </c>
      <c r="O23" s="315"/>
    </row>
    <row r="24" spans="2:15" x14ac:dyDescent="0.25">
      <c r="D24" s="36" t="s">
        <v>94</v>
      </c>
      <c r="E24" s="312" t="s">
        <v>38</v>
      </c>
      <c r="F24" s="312"/>
      <c r="L24" s="313" t="s">
        <v>98</v>
      </c>
      <c r="M24" s="313"/>
      <c r="N24" s="316">
        <f>N23/C14</f>
        <v>18427.222222222223</v>
      </c>
      <c r="O24" s="316"/>
    </row>
    <row r="25" spans="2:15" x14ac:dyDescent="0.25">
      <c r="D25" s="36" t="s">
        <v>94</v>
      </c>
      <c r="E25" s="312" t="s">
        <v>95</v>
      </c>
      <c r="F25" s="312"/>
    </row>
  </sheetData>
  <mergeCells count="10">
    <mergeCell ref="E25:F25"/>
    <mergeCell ref="L23:M23"/>
    <mergeCell ref="L24:M24"/>
    <mergeCell ref="B1:O10"/>
    <mergeCell ref="A16:B16"/>
    <mergeCell ref="E22:F22"/>
    <mergeCell ref="N23:O23"/>
    <mergeCell ref="N24:O24"/>
    <mergeCell ref="E23:F23"/>
    <mergeCell ref="E24:F2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DECA8-36AF-4116-9101-D6A3DCFB4954}">
  <dimension ref="A1:O16"/>
  <sheetViews>
    <sheetView workbookViewId="0">
      <selection activeCell="H14" sqref="H14"/>
    </sheetView>
  </sheetViews>
  <sheetFormatPr baseColWidth="10" defaultRowHeight="15" x14ac:dyDescent="0.25"/>
  <cols>
    <col min="2" max="2" width="13.5703125" customWidth="1"/>
    <col min="3" max="3" width="14.42578125" customWidth="1"/>
    <col min="4" max="4" width="11.42578125" customWidth="1"/>
    <col min="7" max="7" width="12.85546875" customWidth="1"/>
  </cols>
  <sheetData>
    <row r="1" spans="1:15" ht="15" customHeight="1" x14ac:dyDescent="0.25">
      <c r="A1" s="1" t="s">
        <v>71</v>
      </c>
      <c r="B1" s="289" t="s">
        <v>99</v>
      </c>
      <c r="C1" s="289"/>
      <c r="D1" s="289"/>
      <c r="E1" s="289"/>
      <c r="F1" s="289"/>
      <c r="G1" s="289"/>
      <c r="H1" s="289"/>
      <c r="I1" s="289"/>
      <c r="J1" s="289"/>
      <c r="K1" s="289"/>
      <c r="L1" s="289"/>
      <c r="M1" s="289"/>
      <c r="N1" s="289"/>
      <c r="O1" s="289"/>
    </row>
    <row r="2" spans="1:15" x14ac:dyDescent="0.25">
      <c r="B2" s="289"/>
      <c r="C2" s="289"/>
      <c r="D2" s="289"/>
      <c r="E2" s="289"/>
      <c r="F2" s="289"/>
      <c r="G2" s="289"/>
      <c r="H2" s="289"/>
      <c r="I2" s="289"/>
      <c r="J2" s="289"/>
      <c r="K2" s="289"/>
      <c r="L2" s="289"/>
      <c r="M2" s="289"/>
      <c r="N2" s="289"/>
      <c r="O2" s="289"/>
    </row>
    <row r="3" spans="1:15" x14ac:dyDescent="0.25">
      <c r="B3" s="289"/>
      <c r="C3" s="289"/>
      <c r="D3" s="289"/>
      <c r="E3" s="289"/>
      <c r="F3" s="289"/>
      <c r="G3" s="289"/>
      <c r="H3" s="289"/>
      <c r="I3" s="289"/>
      <c r="J3" s="289"/>
      <c r="K3" s="289"/>
      <c r="L3" s="289"/>
      <c r="M3" s="289"/>
      <c r="N3" s="289"/>
      <c r="O3" s="289"/>
    </row>
    <row r="4" spans="1:15" x14ac:dyDescent="0.25">
      <c r="B4" s="289"/>
      <c r="C4" s="289"/>
      <c r="D4" s="289"/>
      <c r="E4" s="289"/>
      <c r="F4" s="289"/>
      <c r="G4" s="289"/>
      <c r="H4" s="289"/>
      <c r="I4" s="289"/>
      <c r="J4" s="289"/>
      <c r="K4" s="289"/>
      <c r="L4" s="289"/>
      <c r="M4" s="289"/>
      <c r="N4" s="289"/>
      <c r="O4" s="289"/>
    </row>
    <row r="5" spans="1:15" x14ac:dyDescent="0.25">
      <c r="B5" s="289"/>
      <c r="C5" s="289"/>
      <c r="D5" s="289"/>
      <c r="E5" s="289"/>
      <c r="F5" s="289"/>
      <c r="G5" s="289"/>
      <c r="H5" s="289"/>
      <c r="I5" s="289"/>
      <c r="J5" s="289"/>
      <c r="K5" s="289"/>
      <c r="L5" s="289"/>
      <c r="M5" s="289"/>
      <c r="N5" s="289"/>
      <c r="O5" s="289"/>
    </row>
    <row r="6" spans="1:15" x14ac:dyDescent="0.25">
      <c r="B6" s="4"/>
      <c r="C6" s="4"/>
      <c r="D6" s="4"/>
      <c r="E6" s="4"/>
      <c r="F6" s="4"/>
      <c r="G6" s="4"/>
      <c r="H6" s="4"/>
      <c r="I6" s="4"/>
      <c r="J6" s="4"/>
      <c r="K6" s="4"/>
      <c r="L6" s="4"/>
      <c r="M6" s="4"/>
      <c r="N6" s="4"/>
      <c r="O6" s="4"/>
    </row>
    <row r="7" spans="1:15" x14ac:dyDescent="0.25">
      <c r="B7" s="55" t="s">
        <v>144</v>
      </c>
      <c r="C7" s="55" t="s">
        <v>110</v>
      </c>
      <c r="D7" s="55" t="s">
        <v>145</v>
      </c>
      <c r="H7" s="55" t="s">
        <v>147</v>
      </c>
      <c r="I7" s="55" t="s">
        <v>148</v>
      </c>
    </row>
    <row r="8" spans="1:15" x14ac:dyDescent="0.25">
      <c r="B8" s="79">
        <f>50000*12</f>
        <v>600000</v>
      </c>
      <c r="C8" s="79">
        <v>120000</v>
      </c>
      <c r="D8" s="79">
        <v>100000</v>
      </c>
      <c r="E8" s="50"/>
      <c r="F8" s="50"/>
      <c r="G8" s="96" t="s">
        <v>146</v>
      </c>
      <c r="H8" s="100">
        <f>SUM(B8:D8)</f>
        <v>820000</v>
      </c>
      <c r="I8" s="99">
        <f>H8/C10</f>
        <v>164</v>
      </c>
    </row>
    <row r="9" spans="1:15" x14ac:dyDescent="0.25">
      <c r="E9" s="50"/>
      <c r="F9" s="50"/>
      <c r="G9" s="96" t="s">
        <v>149</v>
      </c>
      <c r="H9" s="90">
        <f>H8*0.1</f>
        <v>82000</v>
      </c>
      <c r="I9" s="97">
        <f>I8*0.1</f>
        <v>16.400000000000002</v>
      </c>
    </row>
    <row r="10" spans="1:15" x14ac:dyDescent="0.25">
      <c r="B10" s="317" t="s">
        <v>134</v>
      </c>
      <c r="C10" s="320">
        <v>5000</v>
      </c>
      <c r="E10" s="50"/>
      <c r="F10" s="50"/>
      <c r="G10" s="96" t="s">
        <v>150</v>
      </c>
      <c r="H10" s="90">
        <f>H8+H9</f>
        <v>902000</v>
      </c>
      <c r="I10" s="97">
        <f>I8+I9</f>
        <v>180.4</v>
      </c>
    </row>
    <row r="11" spans="1:15" x14ac:dyDescent="0.25">
      <c r="B11" s="317"/>
      <c r="C11" s="320"/>
      <c r="E11" s="50"/>
      <c r="F11" s="50"/>
      <c r="G11" s="96" t="s">
        <v>151</v>
      </c>
      <c r="H11" s="100">
        <f>H10*0.2</f>
        <v>180400</v>
      </c>
      <c r="I11" s="101">
        <f>I10*0.2</f>
        <v>36.080000000000005</v>
      </c>
    </row>
    <row r="12" spans="1:15" ht="15" customHeight="1" x14ac:dyDescent="0.25">
      <c r="E12" s="318" t="s">
        <v>152</v>
      </c>
      <c r="F12" s="319"/>
      <c r="G12" s="319"/>
      <c r="H12" s="79">
        <f>H10+H11</f>
        <v>1082400</v>
      </c>
      <c r="I12" s="77">
        <f>I10+I11</f>
        <v>216.48000000000002</v>
      </c>
      <c r="K12" s="102">
        <v>0.1</v>
      </c>
      <c r="L12" s="312" t="s">
        <v>157</v>
      </c>
      <c r="M12" s="312"/>
    </row>
    <row r="13" spans="1:15" x14ac:dyDescent="0.25">
      <c r="E13" s="50"/>
      <c r="F13" s="95"/>
      <c r="G13" s="96" t="s">
        <v>105</v>
      </c>
      <c r="H13" s="79">
        <f>H12*0.3</f>
        <v>324720</v>
      </c>
      <c r="I13" s="77">
        <f>I12*0.3</f>
        <v>64.944000000000003</v>
      </c>
      <c r="K13" s="102">
        <v>0.2</v>
      </c>
      <c r="L13" s="312" t="s">
        <v>155</v>
      </c>
      <c r="M13" s="312"/>
    </row>
    <row r="14" spans="1:15" x14ac:dyDescent="0.25">
      <c r="E14" s="318" t="s">
        <v>153</v>
      </c>
      <c r="F14" s="319"/>
      <c r="G14" s="319"/>
      <c r="H14" s="98">
        <f>H12+H13</f>
        <v>1407120</v>
      </c>
      <c r="I14" s="99">
        <f>I12+I13</f>
        <v>281.42400000000004</v>
      </c>
      <c r="K14" s="102">
        <v>0.3</v>
      </c>
      <c r="L14" s="312" t="s">
        <v>156</v>
      </c>
      <c r="M14" s="312"/>
    </row>
    <row r="16" spans="1:15" x14ac:dyDescent="0.25">
      <c r="F16" s="317" t="s">
        <v>154</v>
      </c>
      <c r="G16" s="317"/>
      <c r="H16" s="103">
        <f>H14/H8</f>
        <v>1.716</v>
      </c>
      <c r="I16" s="103">
        <f>I14/I8</f>
        <v>1.7160000000000002</v>
      </c>
      <c r="K16" s="104">
        <f>(1+K12)*(1+K13)*(1+K14)</f>
        <v>1.7160000000000002</v>
      </c>
    </row>
  </sheetData>
  <mergeCells count="9">
    <mergeCell ref="F16:G16"/>
    <mergeCell ref="L12:M12"/>
    <mergeCell ref="L13:M13"/>
    <mergeCell ref="L14:M14"/>
    <mergeCell ref="B1:O5"/>
    <mergeCell ref="E12:G12"/>
    <mergeCell ref="E14:G14"/>
    <mergeCell ref="B10:B11"/>
    <mergeCell ref="C10:C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17597-5B29-4C99-B076-DAABBD72341B}">
  <dimension ref="A1:O49"/>
  <sheetViews>
    <sheetView topLeftCell="A7" workbookViewId="0">
      <selection activeCell="C22" sqref="C22"/>
    </sheetView>
  </sheetViews>
  <sheetFormatPr baseColWidth="10" defaultRowHeight="15" x14ac:dyDescent="0.25"/>
  <cols>
    <col min="2" max="2" width="14.85546875" customWidth="1"/>
    <col min="3" max="3" width="11.28515625" customWidth="1"/>
    <col min="5" max="5" width="11.42578125" customWidth="1"/>
    <col min="7" max="8" width="11.42578125" customWidth="1"/>
    <col min="10" max="10" width="11.42578125" customWidth="1"/>
    <col min="12" max="12" width="22.42578125" customWidth="1"/>
  </cols>
  <sheetData>
    <row r="1" spans="1:15" ht="15" customHeight="1" x14ac:dyDescent="0.25">
      <c r="A1" s="1" t="s">
        <v>72</v>
      </c>
      <c r="B1" s="289" t="s">
        <v>171</v>
      </c>
      <c r="C1" s="289"/>
      <c r="D1" s="289"/>
      <c r="E1" s="289"/>
      <c r="F1" s="289"/>
      <c r="G1" s="289"/>
      <c r="H1" s="289"/>
      <c r="I1" s="289"/>
      <c r="J1" s="289"/>
      <c r="K1" s="289"/>
      <c r="L1" s="289"/>
      <c r="M1" s="289"/>
      <c r="N1" s="289"/>
      <c r="O1" s="289"/>
    </row>
    <row r="2" spans="1:15" x14ac:dyDescent="0.25">
      <c r="B2" s="289"/>
      <c r="C2" s="289"/>
      <c r="D2" s="289"/>
      <c r="E2" s="289"/>
      <c r="F2" s="289"/>
      <c r="G2" s="289"/>
      <c r="H2" s="289"/>
      <c r="I2" s="289"/>
      <c r="J2" s="289"/>
      <c r="K2" s="289"/>
      <c r="L2" s="289"/>
      <c r="M2" s="289"/>
      <c r="N2" s="289"/>
      <c r="O2" s="289"/>
    </row>
    <row r="3" spans="1:15" x14ac:dyDescent="0.25">
      <c r="B3" s="289"/>
      <c r="C3" s="289"/>
      <c r="D3" s="289"/>
      <c r="E3" s="289"/>
      <c r="F3" s="289"/>
      <c r="G3" s="289"/>
      <c r="H3" s="289"/>
      <c r="I3" s="289"/>
      <c r="J3" s="289"/>
      <c r="K3" s="289"/>
      <c r="L3" s="289"/>
      <c r="M3" s="289"/>
      <c r="N3" s="289"/>
      <c r="O3" s="289"/>
    </row>
    <row r="4" spans="1:15" x14ac:dyDescent="0.25">
      <c r="B4" s="289"/>
      <c r="C4" s="289"/>
      <c r="D4" s="289"/>
      <c r="E4" s="289"/>
      <c r="F4" s="289"/>
      <c r="G4" s="289"/>
      <c r="H4" s="289"/>
      <c r="I4" s="289"/>
      <c r="J4" s="289"/>
      <c r="K4" s="289"/>
      <c r="L4" s="289"/>
      <c r="M4" s="289"/>
      <c r="N4" s="289"/>
      <c r="O4" s="289"/>
    </row>
    <row r="5" spans="1:15" x14ac:dyDescent="0.25">
      <c r="B5" s="289"/>
      <c r="C5" s="289"/>
      <c r="D5" s="289"/>
      <c r="E5" s="289"/>
      <c r="F5" s="289"/>
      <c r="G5" s="289"/>
      <c r="H5" s="289"/>
      <c r="I5" s="289"/>
      <c r="J5" s="289"/>
      <c r="K5" s="289"/>
      <c r="L5" s="289"/>
      <c r="M5" s="289"/>
      <c r="N5" s="289"/>
      <c r="O5" s="289"/>
    </row>
    <row r="6" spans="1:15" x14ac:dyDescent="0.25">
      <c r="B6" s="289"/>
      <c r="C6" s="289"/>
      <c r="D6" s="289"/>
      <c r="E6" s="289"/>
      <c r="F6" s="289"/>
      <c r="G6" s="289"/>
      <c r="H6" s="289"/>
      <c r="I6" s="289"/>
      <c r="J6" s="289"/>
      <c r="K6" s="289"/>
      <c r="L6" s="289"/>
      <c r="M6" s="289"/>
      <c r="N6" s="289"/>
      <c r="O6" s="289"/>
    </row>
    <row r="7" spans="1:15" x14ac:dyDescent="0.25">
      <c r="B7" s="289"/>
      <c r="C7" s="289"/>
      <c r="D7" s="289"/>
      <c r="E7" s="289"/>
      <c r="F7" s="289"/>
      <c r="G7" s="289"/>
      <c r="H7" s="289"/>
      <c r="I7" s="289"/>
      <c r="J7" s="289"/>
      <c r="K7" s="289"/>
      <c r="L7" s="289"/>
      <c r="M7" s="289"/>
      <c r="N7" s="289"/>
      <c r="O7" s="289"/>
    </row>
    <row r="8" spans="1:15" x14ac:dyDescent="0.25">
      <c r="B8" s="289"/>
      <c r="C8" s="289"/>
      <c r="D8" s="289"/>
      <c r="E8" s="289"/>
      <c r="F8" s="289"/>
      <c r="G8" s="289"/>
      <c r="H8" s="289"/>
      <c r="I8" s="289"/>
      <c r="J8" s="289"/>
      <c r="K8" s="289"/>
      <c r="L8" s="289"/>
      <c r="M8" s="289"/>
      <c r="N8" s="289"/>
      <c r="O8" s="289"/>
    </row>
    <row r="9" spans="1:15" x14ac:dyDescent="0.25">
      <c r="B9" s="289"/>
      <c r="C9" s="289"/>
      <c r="D9" s="289"/>
      <c r="E9" s="289"/>
      <c r="F9" s="289"/>
      <c r="G9" s="289"/>
      <c r="H9" s="289"/>
      <c r="I9" s="289"/>
      <c r="J9" s="289"/>
      <c r="K9" s="289"/>
      <c r="L9" s="289"/>
      <c r="M9" s="289"/>
      <c r="N9" s="289"/>
      <c r="O9" s="289"/>
    </row>
    <row r="10" spans="1:15" x14ac:dyDescent="0.25">
      <c r="B10" s="289"/>
      <c r="C10" s="289"/>
      <c r="D10" s="289"/>
      <c r="E10" s="289"/>
      <c r="F10" s="289"/>
      <c r="G10" s="289"/>
      <c r="H10" s="289"/>
      <c r="I10" s="289"/>
      <c r="J10" s="289"/>
      <c r="K10" s="289"/>
      <c r="L10" s="289"/>
      <c r="M10" s="289"/>
      <c r="N10" s="289"/>
      <c r="O10" s="289"/>
    </row>
    <row r="11" spans="1:15" x14ac:dyDescent="0.25">
      <c r="B11" s="289"/>
      <c r="C11" s="289"/>
      <c r="D11" s="289"/>
      <c r="E11" s="289"/>
      <c r="F11" s="289"/>
      <c r="G11" s="289"/>
      <c r="H11" s="289"/>
      <c r="I11" s="289"/>
      <c r="J11" s="289"/>
      <c r="K11" s="289"/>
      <c r="L11" s="289"/>
      <c r="M11" s="289"/>
      <c r="N11" s="289"/>
      <c r="O11" s="289"/>
    </row>
    <row r="12" spans="1:15" x14ac:dyDescent="0.25">
      <c r="B12" s="289"/>
      <c r="C12" s="289"/>
      <c r="D12" s="289"/>
      <c r="E12" s="289"/>
      <c r="F12" s="289"/>
      <c r="G12" s="289"/>
      <c r="H12" s="289"/>
      <c r="I12" s="289"/>
      <c r="J12" s="289"/>
      <c r="K12" s="289"/>
      <c r="L12" s="289"/>
      <c r="M12" s="289"/>
      <c r="N12" s="289"/>
      <c r="O12" s="289"/>
    </row>
    <row r="13" spans="1:15" x14ac:dyDescent="0.25">
      <c r="B13" s="289"/>
      <c r="C13" s="289"/>
      <c r="D13" s="289"/>
      <c r="E13" s="289"/>
      <c r="F13" s="289"/>
      <c r="G13" s="289"/>
      <c r="H13" s="289"/>
      <c r="I13" s="289"/>
      <c r="J13" s="289"/>
      <c r="K13" s="289"/>
      <c r="L13" s="289"/>
      <c r="M13" s="289"/>
      <c r="N13" s="289"/>
      <c r="O13" s="289"/>
    </row>
    <row r="14" spans="1:15" x14ac:dyDescent="0.25">
      <c r="B14" s="289"/>
      <c r="C14" s="289"/>
      <c r="D14" s="289"/>
      <c r="E14" s="289"/>
      <c r="F14" s="289"/>
      <c r="G14" s="289"/>
      <c r="H14" s="289"/>
      <c r="I14" s="289"/>
      <c r="J14" s="289"/>
      <c r="K14" s="289"/>
      <c r="L14" s="289"/>
      <c r="M14" s="289"/>
      <c r="N14" s="289"/>
      <c r="O14" s="289"/>
    </row>
    <row r="15" spans="1:15" x14ac:dyDescent="0.25">
      <c r="B15" s="289"/>
      <c r="C15" s="289"/>
      <c r="D15" s="289"/>
      <c r="E15" s="289"/>
      <c r="F15" s="289"/>
      <c r="G15" s="289"/>
      <c r="H15" s="289"/>
      <c r="I15" s="289"/>
      <c r="J15" s="289"/>
      <c r="K15" s="289"/>
      <c r="L15" s="289"/>
      <c r="M15" s="289"/>
      <c r="N15" s="289"/>
      <c r="O15" s="289"/>
    </row>
    <row r="16" spans="1:15" x14ac:dyDescent="0.25">
      <c r="B16" s="289"/>
      <c r="C16" s="289"/>
      <c r="D16" s="289"/>
      <c r="E16" s="289"/>
      <c r="F16" s="289"/>
      <c r="G16" s="289"/>
      <c r="H16" s="289"/>
      <c r="I16" s="289"/>
      <c r="J16" s="289"/>
      <c r="K16" s="289"/>
      <c r="L16" s="289"/>
      <c r="M16" s="289"/>
      <c r="N16" s="289"/>
      <c r="O16" s="289"/>
    </row>
    <row r="17" spans="2:15" x14ac:dyDescent="0.25">
      <c r="B17" s="4"/>
      <c r="C17" s="4"/>
      <c r="D17" s="4"/>
      <c r="E17" s="4"/>
      <c r="F17" s="4"/>
      <c r="G17" s="4"/>
      <c r="H17" s="4"/>
      <c r="I17" s="4"/>
      <c r="J17" s="4"/>
      <c r="K17" s="4"/>
      <c r="L17" s="4"/>
      <c r="M17" s="4"/>
      <c r="N17" s="4"/>
      <c r="O17" s="4"/>
    </row>
    <row r="18" spans="2:15" ht="15.75" thickBot="1" x14ac:dyDescent="0.3"/>
    <row r="19" spans="2:15" ht="15.75" thickBot="1" x14ac:dyDescent="0.3">
      <c r="B19" s="52"/>
      <c r="C19" s="52" t="s">
        <v>34</v>
      </c>
      <c r="D19" s="52" t="s">
        <v>55</v>
      </c>
      <c r="E19" s="52" t="s">
        <v>36</v>
      </c>
      <c r="F19" s="52" t="s">
        <v>40</v>
      </c>
      <c r="G19" s="56" t="s">
        <v>35</v>
      </c>
      <c r="H19" s="123" t="s">
        <v>89</v>
      </c>
      <c r="I19" s="124" t="s">
        <v>27</v>
      </c>
      <c r="J19" s="125" t="s">
        <v>43</v>
      </c>
      <c r="L19" s="116" t="s">
        <v>166</v>
      </c>
      <c r="M19" s="75">
        <v>35000</v>
      </c>
    </row>
    <row r="20" spans="2:15" x14ac:dyDescent="0.25">
      <c r="B20" s="51" t="s">
        <v>158</v>
      </c>
      <c r="C20" s="105">
        <f>(4000+70*50)*80</f>
        <v>600000</v>
      </c>
      <c r="D20" s="105">
        <f>(4000+70*50)*80</f>
        <v>600000</v>
      </c>
      <c r="E20" s="105"/>
      <c r="F20" s="52"/>
      <c r="G20" s="56"/>
      <c r="H20" s="131"/>
      <c r="I20" s="132"/>
      <c r="J20" s="133">
        <f>D20*$M$20</f>
        <v>30000</v>
      </c>
      <c r="L20" s="116" t="s">
        <v>167</v>
      </c>
      <c r="M20" s="127">
        <v>0.05</v>
      </c>
    </row>
    <row r="21" spans="2:15" x14ac:dyDescent="0.25">
      <c r="B21" s="51" t="s">
        <v>100</v>
      </c>
      <c r="C21" s="105">
        <f>(70*50)*750</f>
        <v>2625000</v>
      </c>
      <c r="D21" s="105">
        <f>(70*50)*750</f>
        <v>2625000</v>
      </c>
      <c r="E21" s="105"/>
      <c r="F21" s="52">
        <v>40</v>
      </c>
      <c r="G21" s="56">
        <v>40</v>
      </c>
      <c r="H21" s="134"/>
      <c r="I21" s="135">
        <f>(D21-E21)/G21</f>
        <v>65625</v>
      </c>
      <c r="J21" s="136">
        <f>D21*$M$20</f>
        <v>131250</v>
      </c>
      <c r="L21" s="116" t="s">
        <v>168</v>
      </c>
      <c r="M21" s="127">
        <v>7.0000000000000007E-2</v>
      </c>
    </row>
    <row r="22" spans="2:15" x14ac:dyDescent="0.25">
      <c r="B22" s="51" t="s">
        <v>101</v>
      </c>
      <c r="C22" s="105">
        <v>50000</v>
      </c>
      <c r="D22" s="107">
        <f>((C22-E22)*(G22/F22))+E22</f>
        <v>40000</v>
      </c>
      <c r="E22" s="105">
        <f>C22*0.2</f>
        <v>10000</v>
      </c>
      <c r="F22" s="52">
        <v>20</v>
      </c>
      <c r="G22" s="56">
        <v>15</v>
      </c>
      <c r="H22" s="134"/>
      <c r="I22" s="135">
        <f t="shared" ref="I22:I25" si="0">(D22-E22)/G22</f>
        <v>2000</v>
      </c>
      <c r="J22" s="136">
        <f>D22*$M$21</f>
        <v>2800.0000000000005</v>
      </c>
      <c r="L22" s="116" t="s">
        <v>169</v>
      </c>
      <c r="M22" s="127">
        <v>0.1</v>
      </c>
    </row>
    <row r="23" spans="2:15" x14ac:dyDescent="0.25">
      <c r="B23" s="51" t="s">
        <v>102</v>
      </c>
      <c r="C23" s="105">
        <v>25000</v>
      </c>
      <c r="D23" s="107">
        <f t="shared" ref="D23:D25" si="1">((C23-E23)*(G23/F23))+E23</f>
        <v>20500</v>
      </c>
      <c r="E23" s="105">
        <f>C23*0.1</f>
        <v>2500</v>
      </c>
      <c r="F23" s="52">
        <v>10</v>
      </c>
      <c r="G23" s="56">
        <v>8</v>
      </c>
      <c r="H23" s="134"/>
      <c r="I23" s="135">
        <f t="shared" si="0"/>
        <v>2250</v>
      </c>
      <c r="J23" s="136">
        <f>D23*$M$21</f>
        <v>1435.0000000000002</v>
      </c>
    </row>
    <row r="24" spans="2:15" x14ac:dyDescent="0.25">
      <c r="B24" s="51" t="s">
        <v>102</v>
      </c>
      <c r="C24" s="105">
        <v>25000</v>
      </c>
      <c r="D24" s="107">
        <f t="shared" si="1"/>
        <v>20500</v>
      </c>
      <c r="E24" s="105">
        <f>C24*0.1</f>
        <v>2500</v>
      </c>
      <c r="F24" s="52">
        <v>10</v>
      </c>
      <c r="G24" s="56">
        <v>8</v>
      </c>
      <c r="H24" s="134"/>
      <c r="I24" s="135">
        <f t="shared" si="0"/>
        <v>2250</v>
      </c>
      <c r="J24" s="136">
        <f>D24*$M$21</f>
        <v>1435.0000000000002</v>
      </c>
    </row>
    <row r="25" spans="2:15" ht="15.75" thickBot="1" x14ac:dyDescent="0.3">
      <c r="B25" s="109" t="s">
        <v>103</v>
      </c>
      <c r="C25" s="118">
        <v>80000</v>
      </c>
      <c r="D25" s="107">
        <f t="shared" si="1"/>
        <v>63000</v>
      </c>
      <c r="E25" s="118">
        <f>C25*0.15</f>
        <v>12000</v>
      </c>
      <c r="F25" s="119">
        <v>20</v>
      </c>
      <c r="G25" s="120">
        <v>15</v>
      </c>
      <c r="H25" s="137"/>
      <c r="I25" s="138">
        <f t="shared" si="0"/>
        <v>3400</v>
      </c>
      <c r="J25" s="139">
        <f t="shared" ref="J25" si="2">D25*$M$21</f>
        <v>4410</v>
      </c>
    </row>
    <row r="26" spans="2:15" x14ac:dyDescent="0.25">
      <c r="B26" s="113"/>
      <c r="C26" s="114"/>
      <c r="D26" s="114"/>
      <c r="E26" s="114"/>
      <c r="F26" s="115"/>
      <c r="G26" s="115"/>
      <c r="H26" s="112"/>
      <c r="I26" s="112"/>
      <c r="J26" s="112"/>
    </row>
    <row r="27" spans="2:15" ht="15.75" thickBot="1" x14ac:dyDescent="0.3">
      <c r="B27" s="110"/>
      <c r="C27" s="55" t="s">
        <v>170</v>
      </c>
      <c r="D27" s="111" t="s">
        <v>162</v>
      </c>
      <c r="E27" s="111" t="s">
        <v>159</v>
      </c>
      <c r="F27" s="83"/>
      <c r="G27" s="55"/>
      <c r="H27" s="112"/>
      <c r="I27" s="112"/>
      <c r="J27" s="112"/>
      <c r="L27" s="296" t="s">
        <v>172</v>
      </c>
      <c r="M27" s="296"/>
      <c r="N27" s="296"/>
    </row>
    <row r="28" spans="2:15" x14ac:dyDescent="0.25">
      <c r="B28" s="51" t="s">
        <v>104</v>
      </c>
      <c r="C28" s="77">
        <f>M29</f>
        <v>5</v>
      </c>
      <c r="D28" s="79">
        <f>C28*M19</f>
        <v>175000</v>
      </c>
      <c r="E28" s="79">
        <f>D28*12</f>
        <v>2100000</v>
      </c>
      <c r="F28" s="79"/>
      <c r="G28" s="121"/>
      <c r="H28" s="131">
        <f>E28</f>
        <v>2100000</v>
      </c>
      <c r="I28" s="126"/>
      <c r="J28" s="128">
        <f>H28*$M$22*($M$32/12)</f>
        <v>70000</v>
      </c>
      <c r="L28" s="55" t="s">
        <v>173</v>
      </c>
      <c r="M28" s="55">
        <f>150/10</f>
        <v>15</v>
      </c>
      <c r="N28" s="72" t="s">
        <v>174</v>
      </c>
    </row>
    <row r="29" spans="2:15" x14ac:dyDescent="0.25">
      <c r="B29" s="108" t="s">
        <v>105</v>
      </c>
      <c r="C29" s="55"/>
      <c r="D29" s="79">
        <v>300</v>
      </c>
      <c r="E29" s="79">
        <f>D29*12</f>
        <v>3600</v>
      </c>
      <c r="F29" s="79"/>
      <c r="G29" s="121"/>
      <c r="H29" s="134">
        <f t="shared" ref="H29:H35" si="3">E29</f>
        <v>3600</v>
      </c>
      <c r="I29" s="67"/>
      <c r="J29" s="129">
        <f>H29*$M$22*($M$32/12)</f>
        <v>120</v>
      </c>
      <c r="L29" s="55" t="s">
        <v>175</v>
      </c>
      <c r="M29" s="77">
        <f>75/M28</f>
        <v>5</v>
      </c>
      <c r="N29" s="72"/>
    </row>
    <row r="30" spans="2:15" x14ac:dyDescent="0.25">
      <c r="B30" s="108" t="s">
        <v>160</v>
      </c>
      <c r="C30" s="55"/>
      <c r="D30" s="79">
        <f>2000</f>
        <v>2000</v>
      </c>
      <c r="E30" s="79">
        <f>D30*12</f>
        <v>24000</v>
      </c>
      <c r="F30" s="79"/>
      <c r="G30" s="121"/>
      <c r="H30" s="134">
        <f t="shared" si="3"/>
        <v>24000</v>
      </c>
      <c r="I30" s="67"/>
      <c r="J30" s="129">
        <f t="shared" ref="J30:J35" si="4">H30*$M$22*($M$32/12)</f>
        <v>800</v>
      </c>
    </row>
    <row r="31" spans="2:15" x14ac:dyDescent="0.25">
      <c r="B31" s="108" t="s">
        <v>163</v>
      </c>
      <c r="C31" s="55"/>
      <c r="D31" s="79">
        <f>1900*2*7</f>
        <v>26600</v>
      </c>
      <c r="E31" s="79">
        <f>D31*12</f>
        <v>319200</v>
      </c>
      <c r="F31" s="79"/>
      <c r="G31" s="121"/>
      <c r="H31" s="134">
        <f t="shared" si="3"/>
        <v>319200</v>
      </c>
      <c r="I31" s="67"/>
      <c r="J31" s="129">
        <f t="shared" si="4"/>
        <v>10640</v>
      </c>
    </row>
    <row r="32" spans="2:15" x14ac:dyDescent="0.25">
      <c r="B32" s="117" t="s">
        <v>161</v>
      </c>
      <c r="C32" s="55"/>
      <c r="D32" s="79">
        <f>3200*2</f>
        <v>6400</v>
      </c>
      <c r="E32" s="79">
        <f>D32*12</f>
        <v>76800</v>
      </c>
      <c r="F32" s="79"/>
      <c r="G32" s="121"/>
      <c r="H32" s="134">
        <f t="shared" si="3"/>
        <v>76800</v>
      </c>
      <c r="I32" s="67"/>
      <c r="J32" s="129">
        <f t="shared" si="4"/>
        <v>2560</v>
      </c>
      <c r="L32" s="49" t="s">
        <v>176</v>
      </c>
      <c r="M32" s="49">
        <v>4</v>
      </c>
      <c r="N32" s="49" t="s">
        <v>88</v>
      </c>
    </row>
    <row r="33" spans="1:11" x14ac:dyDescent="0.25">
      <c r="A33" s="312" t="s">
        <v>164</v>
      </c>
      <c r="B33" s="312"/>
      <c r="C33" s="55"/>
      <c r="D33" s="55"/>
      <c r="E33" s="79">
        <f>0.01*C22</f>
        <v>500</v>
      </c>
      <c r="F33" s="72"/>
      <c r="G33" s="122"/>
      <c r="H33" s="134">
        <f t="shared" si="3"/>
        <v>500</v>
      </c>
      <c r="I33" s="67"/>
      <c r="J33" s="129">
        <f t="shared" si="4"/>
        <v>16.666666666666664</v>
      </c>
    </row>
    <row r="34" spans="1:11" x14ac:dyDescent="0.25">
      <c r="A34" s="312" t="s">
        <v>165</v>
      </c>
      <c r="B34" s="312"/>
      <c r="C34" s="55"/>
      <c r="D34" s="55"/>
      <c r="E34" s="79">
        <f>0.015*C23</f>
        <v>375</v>
      </c>
      <c r="F34" s="72"/>
      <c r="G34" s="122"/>
      <c r="H34" s="134">
        <f t="shared" si="3"/>
        <v>375</v>
      </c>
      <c r="I34" s="67"/>
      <c r="J34" s="129">
        <f t="shared" si="4"/>
        <v>12.5</v>
      </c>
    </row>
    <row r="35" spans="1:11" ht="15.75" thickBot="1" x14ac:dyDescent="0.3">
      <c r="A35" s="312" t="s">
        <v>165</v>
      </c>
      <c r="B35" s="312"/>
      <c r="C35" s="55"/>
      <c r="D35" s="55"/>
      <c r="E35" s="79">
        <f>0.015*C24</f>
        <v>375</v>
      </c>
      <c r="F35" s="72"/>
      <c r="G35" s="122"/>
      <c r="H35" s="137">
        <f t="shared" si="3"/>
        <v>375</v>
      </c>
      <c r="I35" s="68"/>
      <c r="J35" s="130">
        <f t="shared" si="4"/>
        <v>12.5</v>
      </c>
    </row>
    <row r="36" spans="1:11" ht="15.75" thickBot="1" x14ac:dyDescent="0.3"/>
    <row r="37" spans="1:11" ht="15.75" thickBot="1" x14ac:dyDescent="0.3">
      <c r="H37" s="141">
        <f t="shared" ref="H37:I37" si="5">SUM(H20:H35)</f>
        <v>2524850</v>
      </c>
      <c r="I37" s="142">
        <f t="shared" si="5"/>
        <v>75525</v>
      </c>
      <c r="J37" s="143">
        <f>SUM(J20:J35)</f>
        <v>255491.66666666666</v>
      </c>
    </row>
    <row r="39" spans="1:11" x14ac:dyDescent="0.25">
      <c r="J39" s="92">
        <f>SUM(H37:J37)</f>
        <v>2855866.6666666665</v>
      </c>
      <c r="K39" t="s">
        <v>177</v>
      </c>
    </row>
    <row r="40" spans="1:11" x14ac:dyDescent="0.25">
      <c r="J40" s="144">
        <f>J39/12</f>
        <v>237988.88888888888</v>
      </c>
      <c r="K40" t="s">
        <v>178</v>
      </c>
    </row>
    <row r="41" spans="1:11" x14ac:dyDescent="0.25">
      <c r="G41" s="312" t="s">
        <v>179</v>
      </c>
      <c r="H41" s="312"/>
      <c r="I41" s="312"/>
      <c r="J41" s="77">
        <f>J40/M19</f>
        <v>6.7996825396825393</v>
      </c>
    </row>
    <row r="43" spans="1:11" x14ac:dyDescent="0.25">
      <c r="B43" s="312" t="s">
        <v>180</v>
      </c>
      <c r="C43" s="312"/>
      <c r="D43" s="145">
        <v>0.12</v>
      </c>
      <c r="E43" s="50"/>
      <c r="H43" s="312" t="s">
        <v>185</v>
      </c>
      <c r="I43" s="312"/>
      <c r="J43" s="312"/>
      <c r="K43" s="77">
        <f>(J41*D43)+J41</f>
        <v>7.6156444444444436</v>
      </c>
    </row>
    <row r="44" spans="1:11" x14ac:dyDescent="0.25">
      <c r="B44" s="312" t="s">
        <v>181</v>
      </c>
      <c r="C44" s="312"/>
      <c r="D44" s="146">
        <v>0.1</v>
      </c>
      <c r="E44" s="50"/>
      <c r="H44" s="312" t="s">
        <v>186</v>
      </c>
      <c r="I44" s="312"/>
      <c r="J44" s="312"/>
      <c r="K44" s="77">
        <f>(K43*D44)+K43</f>
        <v>8.3772088888888874</v>
      </c>
    </row>
    <row r="45" spans="1:11" x14ac:dyDescent="0.25">
      <c r="B45" s="312" t="s">
        <v>182</v>
      </c>
      <c r="C45" s="321"/>
      <c r="D45" s="93">
        <f>(1+E45)*(1+F45) -1</f>
        <v>0.25234999999999985</v>
      </c>
      <c r="E45" s="106">
        <v>0.21</v>
      </c>
      <c r="F45" s="140">
        <v>3.5000000000000003E-2</v>
      </c>
      <c r="H45" s="312" t="s">
        <v>187</v>
      </c>
      <c r="I45" s="312"/>
      <c r="J45" s="312"/>
      <c r="K45" s="77">
        <f>(K44*D45)+K44</f>
        <v>10.491197551999997</v>
      </c>
    </row>
    <row r="46" spans="1:11" x14ac:dyDescent="0.25">
      <c r="E46" s="147" t="s">
        <v>183</v>
      </c>
      <c r="F46" s="147" t="s">
        <v>184</v>
      </c>
    </row>
    <row r="48" spans="1:11" x14ac:dyDescent="0.25">
      <c r="B48" s="322" t="s">
        <v>154</v>
      </c>
      <c r="C48" s="322"/>
      <c r="D48" s="148">
        <f>(1+D43)*(1+D44)*(1+D45)</f>
        <v>1.5428952</v>
      </c>
      <c r="H48" s="312" t="s">
        <v>188</v>
      </c>
      <c r="I48" s="312"/>
      <c r="J48" s="321"/>
      <c r="K48" s="77">
        <f>K45</f>
        <v>10.491197551999997</v>
      </c>
    </row>
    <row r="49" spans="11:11" x14ac:dyDescent="0.25">
      <c r="K49" s="77">
        <f>J41*D48</f>
        <v>10.491197551999999</v>
      </c>
    </row>
  </sheetData>
  <mergeCells count="14">
    <mergeCell ref="H48:J48"/>
    <mergeCell ref="B48:C48"/>
    <mergeCell ref="G41:I41"/>
    <mergeCell ref="B43:C43"/>
    <mergeCell ref="B44:C44"/>
    <mergeCell ref="B45:C45"/>
    <mergeCell ref="H43:J43"/>
    <mergeCell ref="H44:J44"/>
    <mergeCell ref="H45:J45"/>
    <mergeCell ref="A33:B33"/>
    <mergeCell ref="A34:B34"/>
    <mergeCell ref="A35:B35"/>
    <mergeCell ref="B1:O16"/>
    <mergeCell ref="L27:N27"/>
  </mergeCells>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CE686-8499-49BB-82A0-18A0C945528C}">
  <dimension ref="A1:P38"/>
  <sheetViews>
    <sheetView topLeftCell="A20" zoomScale="90" zoomScaleNormal="90" workbookViewId="0">
      <selection activeCell="J27" sqref="J27"/>
    </sheetView>
  </sheetViews>
  <sheetFormatPr baseColWidth="10" defaultRowHeight="15" x14ac:dyDescent="0.25"/>
  <cols>
    <col min="2" max="2" width="13.28515625" customWidth="1"/>
    <col min="8" max="8" width="11.42578125" customWidth="1"/>
    <col min="10" max="10" width="13.140625" bestFit="1" customWidth="1"/>
    <col min="12" max="12" width="20.5703125" customWidth="1"/>
    <col min="13" max="13" width="11.42578125" customWidth="1"/>
  </cols>
  <sheetData>
    <row r="1" spans="1:15" ht="15" customHeight="1" x14ac:dyDescent="0.25">
      <c r="A1" s="1" t="s">
        <v>73</v>
      </c>
      <c r="B1" s="289" t="s">
        <v>189</v>
      </c>
      <c r="C1" s="289"/>
      <c r="D1" s="289"/>
      <c r="E1" s="289"/>
      <c r="F1" s="289"/>
      <c r="G1" s="289"/>
      <c r="H1" s="289"/>
      <c r="I1" s="289"/>
      <c r="J1" s="289"/>
      <c r="K1" s="289"/>
      <c r="L1" s="289"/>
      <c r="M1" s="289"/>
      <c r="N1" s="289"/>
      <c r="O1" s="289"/>
    </row>
    <row r="2" spans="1:15" x14ac:dyDescent="0.25">
      <c r="B2" s="289"/>
      <c r="C2" s="289"/>
      <c r="D2" s="289"/>
      <c r="E2" s="289"/>
      <c r="F2" s="289"/>
      <c r="G2" s="289"/>
      <c r="H2" s="289"/>
      <c r="I2" s="289"/>
      <c r="J2" s="289"/>
      <c r="K2" s="289"/>
      <c r="L2" s="289"/>
      <c r="M2" s="289"/>
      <c r="N2" s="289"/>
      <c r="O2" s="289"/>
    </row>
    <row r="3" spans="1:15" x14ac:dyDescent="0.25">
      <c r="B3" s="154"/>
      <c r="C3" s="154"/>
      <c r="D3" s="154"/>
      <c r="E3" s="154"/>
      <c r="F3" s="154"/>
      <c r="G3" s="154"/>
      <c r="H3" s="154"/>
      <c r="I3" s="154"/>
      <c r="J3" s="154"/>
      <c r="K3" s="154"/>
      <c r="L3" s="154"/>
      <c r="M3" s="154"/>
      <c r="N3" s="154"/>
      <c r="O3" s="154"/>
    </row>
    <row r="4" spans="1:15" x14ac:dyDescent="0.25">
      <c r="B4" s="86" t="s">
        <v>190</v>
      </c>
      <c r="C4" s="86" t="s">
        <v>34</v>
      </c>
      <c r="D4" s="86" t="s">
        <v>57</v>
      </c>
      <c r="E4" s="86" t="s">
        <v>36</v>
      </c>
      <c r="F4" s="154"/>
      <c r="G4" s="154"/>
      <c r="H4" s="154"/>
      <c r="I4" s="154"/>
      <c r="J4" s="154"/>
      <c r="K4" s="154"/>
      <c r="L4" s="154"/>
      <c r="M4" s="154"/>
      <c r="N4" s="154"/>
      <c r="O4" s="154"/>
    </row>
    <row r="5" spans="1:15" x14ac:dyDescent="0.25">
      <c r="B5" s="86" t="s">
        <v>27</v>
      </c>
      <c r="C5" s="86">
        <v>25000</v>
      </c>
      <c r="D5" s="86">
        <v>20</v>
      </c>
      <c r="E5" s="155">
        <v>0.15</v>
      </c>
      <c r="F5" s="154"/>
      <c r="G5" s="154"/>
      <c r="H5" s="154"/>
      <c r="I5" s="154"/>
      <c r="J5" s="154"/>
      <c r="K5" s="154"/>
      <c r="L5" s="154"/>
      <c r="M5" s="154"/>
      <c r="N5" s="154"/>
      <c r="O5" s="154"/>
    </row>
    <row r="6" spans="1:15" x14ac:dyDescent="0.25">
      <c r="B6" s="86" t="s">
        <v>28</v>
      </c>
      <c r="C6" s="86">
        <v>30000</v>
      </c>
      <c r="D6" s="86">
        <v>15</v>
      </c>
      <c r="E6" s="155">
        <v>0.1</v>
      </c>
      <c r="F6" s="154"/>
      <c r="G6" s="154"/>
      <c r="H6" s="154"/>
      <c r="I6" s="154"/>
      <c r="J6" s="154"/>
      <c r="K6" s="154"/>
      <c r="L6" s="154"/>
      <c r="M6" s="154"/>
      <c r="N6" s="154"/>
      <c r="O6" s="154"/>
    </row>
    <row r="7" spans="1:15" x14ac:dyDescent="0.25">
      <c r="B7" s="154"/>
      <c r="C7" s="154"/>
      <c r="D7" s="154"/>
      <c r="E7" s="154"/>
      <c r="F7" s="154"/>
      <c r="G7" s="154"/>
      <c r="H7" s="154"/>
      <c r="I7" s="154"/>
      <c r="J7" s="154"/>
      <c r="K7" s="154"/>
      <c r="L7" s="154"/>
      <c r="M7" s="154"/>
      <c r="N7" s="154"/>
      <c r="O7" s="154"/>
    </row>
    <row r="8" spans="1:15" ht="15" customHeight="1" x14ac:dyDescent="0.25">
      <c r="B8" s="289" t="s">
        <v>191</v>
      </c>
      <c r="C8" s="289"/>
      <c r="D8" s="289"/>
      <c r="E8" s="289"/>
      <c r="F8" s="289"/>
      <c r="G8" s="289"/>
      <c r="H8" s="289"/>
      <c r="I8" s="289"/>
      <c r="J8" s="289"/>
      <c r="K8" s="289"/>
      <c r="L8" s="289"/>
      <c r="M8" s="289"/>
      <c r="N8" s="289"/>
      <c r="O8" s="289"/>
    </row>
    <row r="9" spans="1:15" x14ac:dyDescent="0.25">
      <c r="B9" s="289"/>
      <c r="C9" s="289"/>
      <c r="D9" s="289"/>
      <c r="E9" s="289"/>
      <c r="F9" s="289"/>
      <c r="G9" s="289"/>
      <c r="H9" s="289"/>
      <c r="I9" s="289"/>
      <c r="J9" s="289"/>
      <c r="K9" s="289"/>
      <c r="L9" s="289"/>
      <c r="M9" s="289"/>
      <c r="N9" s="289"/>
      <c r="O9" s="289"/>
    </row>
    <row r="10" spans="1:15" x14ac:dyDescent="0.25">
      <c r="B10" s="289"/>
      <c r="C10" s="289"/>
      <c r="D10" s="289"/>
      <c r="E10" s="289"/>
      <c r="F10" s="289"/>
      <c r="G10" s="289"/>
      <c r="H10" s="289"/>
      <c r="I10" s="289"/>
      <c r="J10" s="289"/>
      <c r="K10" s="289"/>
      <c r="L10" s="289"/>
      <c r="M10" s="289"/>
      <c r="N10" s="289"/>
      <c r="O10" s="289"/>
    </row>
    <row r="11" spans="1:15" x14ac:dyDescent="0.25">
      <c r="B11" s="289"/>
      <c r="C11" s="289"/>
      <c r="D11" s="289"/>
      <c r="E11" s="289"/>
      <c r="F11" s="289"/>
      <c r="G11" s="289"/>
      <c r="H11" s="289"/>
      <c r="I11" s="289"/>
      <c r="J11" s="289"/>
      <c r="K11" s="289"/>
      <c r="L11" s="289"/>
      <c r="M11" s="289"/>
      <c r="N11" s="289"/>
      <c r="O11" s="289"/>
    </row>
    <row r="12" spans="1:15" x14ac:dyDescent="0.25">
      <c r="B12" s="289"/>
      <c r="C12" s="289"/>
      <c r="D12" s="289"/>
      <c r="E12" s="289"/>
      <c r="F12" s="289"/>
      <c r="G12" s="289"/>
      <c r="H12" s="289"/>
      <c r="I12" s="289"/>
      <c r="J12" s="289"/>
      <c r="K12" s="289"/>
      <c r="L12" s="289"/>
      <c r="M12" s="289"/>
      <c r="N12" s="289"/>
      <c r="O12" s="289"/>
    </row>
    <row r="13" spans="1:15" x14ac:dyDescent="0.25">
      <c r="B13" s="289"/>
      <c r="C13" s="289"/>
      <c r="D13" s="289"/>
      <c r="E13" s="289"/>
      <c r="F13" s="289"/>
      <c r="G13" s="289"/>
      <c r="H13" s="289"/>
      <c r="I13" s="289"/>
      <c r="J13" s="289"/>
      <c r="K13" s="289"/>
      <c r="L13" s="289"/>
      <c r="M13" s="289"/>
      <c r="N13" s="289"/>
      <c r="O13" s="289"/>
    </row>
    <row r="14" spans="1:15" x14ac:dyDescent="0.25">
      <c r="B14" s="289"/>
      <c r="C14" s="289"/>
      <c r="D14" s="289"/>
      <c r="E14" s="289"/>
      <c r="F14" s="289"/>
      <c r="G14" s="289"/>
      <c r="H14" s="289"/>
      <c r="I14" s="289"/>
      <c r="J14" s="289"/>
      <c r="K14" s="289"/>
      <c r="L14" s="289"/>
      <c r="M14" s="289"/>
      <c r="N14" s="289"/>
      <c r="O14" s="289"/>
    </row>
    <row r="15" spans="1:15" x14ac:dyDescent="0.25">
      <c r="B15" s="289"/>
      <c r="C15" s="289"/>
      <c r="D15" s="289"/>
      <c r="E15" s="289"/>
      <c r="F15" s="289"/>
      <c r="G15" s="289"/>
      <c r="H15" s="289"/>
      <c r="I15" s="289"/>
      <c r="J15" s="289"/>
      <c r="K15" s="289"/>
      <c r="L15" s="289"/>
      <c r="M15" s="289"/>
      <c r="N15" s="289"/>
      <c r="O15" s="289"/>
    </row>
    <row r="16" spans="1:15" x14ac:dyDescent="0.25">
      <c r="B16" s="152"/>
      <c r="C16" s="152"/>
      <c r="D16" s="152"/>
      <c r="E16" s="152"/>
      <c r="F16" s="152"/>
      <c r="G16" s="152"/>
      <c r="H16" s="152"/>
      <c r="I16" s="152"/>
      <c r="J16" s="152"/>
      <c r="K16" s="152"/>
      <c r="L16" s="152"/>
      <c r="M16" s="152"/>
      <c r="N16" s="152"/>
      <c r="O16" s="152"/>
    </row>
    <row r="17" spans="2:16" x14ac:dyDescent="0.25">
      <c r="B17" s="325" t="s">
        <v>192</v>
      </c>
      <c r="C17" s="325"/>
      <c r="D17" s="325"/>
      <c r="E17" s="325"/>
      <c r="F17" s="325"/>
      <c r="G17" s="325"/>
      <c r="H17" s="325"/>
      <c r="I17" s="325"/>
      <c r="J17" s="325"/>
      <c r="K17" s="325"/>
      <c r="L17" s="325"/>
      <c r="M17" s="325"/>
      <c r="N17" s="325"/>
      <c r="O17" s="325"/>
    </row>
    <row r="18" spans="2:16" ht="15.75" thickBot="1" x14ac:dyDescent="0.3">
      <c r="B18" s="153"/>
      <c r="C18" s="153"/>
      <c r="D18" s="153"/>
      <c r="E18" s="153"/>
      <c r="F18" s="153"/>
      <c r="G18" s="153"/>
      <c r="H18" s="153"/>
      <c r="I18" s="153"/>
      <c r="J18" s="153"/>
      <c r="K18" s="153"/>
      <c r="L18" s="153"/>
      <c r="M18" s="153"/>
      <c r="N18" s="153"/>
      <c r="O18" s="153"/>
    </row>
    <row r="19" spans="2:16" ht="15.75" thickBot="1" x14ac:dyDescent="0.3">
      <c r="B19" s="119"/>
      <c r="C19" s="119" t="s">
        <v>34</v>
      </c>
      <c r="D19" s="119" t="s">
        <v>55</v>
      </c>
      <c r="E19" s="119" t="s">
        <v>36</v>
      </c>
      <c r="F19" s="119" t="s">
        <v>40</v>
      </c>
      <c r="G19" s="120" t="s">
        <v>35</v>
      </c>
      <c r="H19" s="123" t="s">
        <v>89</v>
      </c>
      <c r="I19" s="124" t="s">
        <v>27</v>
      </c>
      <c r="J19" s="125" t="s">
        <v>43</v>
      </c>
      <c r="K19" s="153"/>
      <c r="L19" s="326" t="s">
        <v>80</v>
      </c>
      <c r="M19" s="326"/>
      <c r="N19" s="177"/>
      <c r="O19" s="327"/>
      <c r="P19" s="327"/>
    </row>
    <row r="20" spans="2:16" x14ac:dyDescent="0.25">
      <c r="B20" s="72" t="s">
        <v>158</v>
      </c>
      <c r="C20" s="79">
        <v>250000</v>
      </c>
      <c r="D20" s="79">
        <v>250000</v>
      </c>
      <c r="E20" s="79"/>
      <c r="F20" s="156"/>
      <c r="G20" s="161"/>
      <c r="H20" s="173"/>
      <c r="I20" s="174"/>
      <c r="J20" s="175">
        <f>D20*$M$36</f>
        <v>15000</v>
      </c>
      <c r="L20" s="71" t="s">
        <v>200</v>
      </c>
      <c r="M20" s="71" t="s">
        <v>174</v>
      </c>
      <c r="N20" s="179"/>
      <c r="O20" s="178"/>
      <c r="P20" s="178"/>
    </row>
    <row r="21" spans="2:16" x14ac:dyDescent="0.25">
      <c r="B21" s="72" t="s">
        <v>77</v>
      </c>
      <c r="C21" s="79">
        <v>180000</v>
      </c>
      <c r="D21" s="79">
        <v>180000</v>
      </c>
      <c r="E21" s="79"/>
      <c r="F21" s="156">
        <v>30</v>
      </c>
      <c r="G21" s="161">
        <v>30</v>
      </c>
      <c r="H21" s="163"/>
      <c r="I21" s="79">
        <f>(D21-E21)/G21</f>
        <v>6000</v>
      </c>
      <c r="J21" s="164">
        <f>D21*$M$36</f>
        <v>10800</v>
      </c>
      <c r="L21" s="91">
        <v>1</v>
      </c>
      <c r="M21" s="91">
        <v>25</v>
      </c>
      <c r="N21" s="179"/>
      <c r="O21" s="178"/>
      <c r="P21" s="178"/>
    </row>
    <row r="22" spans="2:16" x14ac:dyDescent="0.25">
      <c r="B22" s="72" t="s">
        <v>193</v>
      </c>
      <c r="C22" s="79">
        <f>C5</f>
        <v>25000</v>
      </c>
      <c r="D22" s="107">
        <f>((C22-E22)*(G22/F22))+E22</f>
        <v>25000</v>
      </c>
      <c r="E22" s="79">
        <f>C22*0.15</f>
        <v>3750</v>
      </c>
      <c r="F22" s="156">
        <f>D5</f>
        <v>20</v>
      </c>
      <c r="G22" s="156">
        <v>20</v>
      </c>
      <c r="H22" s="163"/>
      <c r="I22" s="79">
        <f>(D22-E22)/G22</f>
        <v>1062.5</v>
      </c>
      <c r="J22" s="164">
        <f>D22*$M$37</f>
        <v>2000</v>
      </c>
      <c r="L22" s="91">
        <f>M22/M21</f>
        <v>320</v>
      </c>
      <c r="M22" s="91">
        <v>8000</v>
      </c>
      <c r="N22" s="179"/>
      <c r="O22" s="178"/>
      <c r="P22" s="178"/>
    </row>
    <row r="23" spans="2:16" x14ac:dyDescent="0.25">
      <c r="B23" s="72" t="s">
        <v>194</v>
      </c>
      <c r="C23" s="79">
        <f>C6</f>
        <v>30000</v>
      </c>
      <c r="D23" s="107">
        <f t="shared" ref="D23" si="0">((C23-E23)*(G23/F23))+E23</f>
        <v>30000</v>
      </c>
      <c r="E23" s="79">
        <f>C23*0.1</f>
        <v>3000</v>
      </c>
      <c r="F23" s="156">
        <v>15</v>
      </c>
      <c r="G23" s="156">
        <v>15</v>
      </c>
      <c r="H23" s="163"/>
      <c r="I23" s="79">
        <f t="shared" ref="I23:I24" si="1">(D23-E23)/G23</f>
        <v>1800</v>
      </c>
      <c r="J23" s="164">
        <f t="shared" ref="J23:J24" si="2">D23*$M$37</f>
        <v>2400</v>
      </c>
      <c r="L23" s="178"/>
      <c r="M23" s="178"/>
      <c r="N23" s="179"/>
      <c r="O23" s="178"/>
      <c r="P23" s="179"/>
    </row>
    <row r="24" spans="2:16" x14ac:dyDescent="0.25">
      <c r="B24" s="72" t="s">
        <v>195</v>
      </c>
      <c r="C24" s="79">
        <v>110000</v>
      </c>
      <c r="D24" s="107">
        <f>((C24-E24)*(G24/F24))+E24</f>
        <v>110000</v>
      </c>
      <c r="E24" s="79">
        <f>C24*0.2</f>
        <v>22000</v>
      </c>
      <c r="F24" s="156">
        <v>10</v>
      </c>
      <c r="G24" s="156">
        <v>10</v>
      </c>
      <c r="H24" s="163"/>
      <c r="I24" s="79">
        <f t="shared" si="1"/>
        <v>8800</v>
      </c>
      <c r="J24" s="164">
        <f t="shared" si="2"/>
        <v>8800</v>
      </c>
      <c r="L24" s="71" t="s">
        <v>200</v>
      </c>
      <c r="M24" s="71" t="s">
        <v>201</v>
      </c>
      <c r="N24" s="179"/>
      <c r="O24" s="327"/>
      <c r="P24" s="327"/>
    </row>
    <row r="25" spans="2:16" x14ac:dyDescent="0.25">
      <c r="B25" s="72"/>
      <c r="C25" s="79"/>
      <c r="D25" s="79" t="s">
        <v>178</v>
      </c>
      <c r="E25" s="79" t="s">
        <v>177</v>
      </c>
      <c r="F25" s="156"/>
      <c r="G25" s="161"/>
      <c r="H25" s="163"/>
      <c r="I25" s="79"/>
      <c r="J25" s="164"/>
      <c r="L25" s="91">
        <v>5</v>
      </c>
      <c r="M25" s="182">
        <v>525</v>
      </c>
      <c r="N25" s="179"/>
      <c r="O25" s="178"/>
      <c r="P25" s="180"/>
    </row>
    <row r="26" spans="2:16" x14ac:dyDescent="0.25">
      <c r="B26" s="51" t="s">
        <v>80</v>
      </c>
      <c r="C26" s="77">
        <f>M30</f>
        <v>4.62</v>
      </c>
      <c r="D26" s="79">
        <f>C26*8000</f>
        <v>36960</v>
      </c>
      <c r="E26" s="79">
        <f>D26*12</f>
        <v>443520</v>
      </c>
      <c r="F26" s="71"/>
      <c r="G26" s="84"/>
      <c r="H26" s="163">
        <f>E26</f>
        <v>443520</v>
      </c>
      <c r="I26" s="79"/>
      <c r="J26" s="164">
        <f>H26*$M$38*(2/12)</f>
        <v>8870.4</v>
      </c>
      <c r="L26" s="183">
        <v>320</v>
      </c>
      <c r="M26" s="184">
        <f>L26*M25/L25</f>
        <v>33600</v>
      </c>
      <c r="N26" s="179"/>
      <c r="O26" s="178"/>
      <c r="P26" s="178"/>
    </row>
    <row r="27" spans="2:16" x14ac:dyDescent="0.25">
      <c r="B27" s="51" t="s">
        <v>105</v>
      </c>
      <c r="C27" s="77"/>
      <c r="D27" s="79">
        <f>450/2</f>
        <v>225</v>
      </c>
      <c r="E27" s="79">
        <f>D27*12</f>
        <v>2700</v>
      </c>
      <c r="F27" s="79"/>
      <c r="G27" s="121"/>
      <c r="H27" s="163">
        <f t="shared" ref="H27:H30" si="3">E27</f>
        <v>2700</v>
      </c>
      <c r="I27" s="79"/>
      <c r="J27" s="164">
        <f t="shared" ref="J27:J30" si="4">H27*$M$38*(2/12)</f>
        <v>54</v>
      </c>
      <c r="L27" s="178"/>
      <c r="M27" s="180"/>
      <c r="N27" s="179"/>
      <c r="O27" s="178"/>
      <c r="P27" s="178"/>
    </row>
    <row r="28" spans="2:16" x14ac:dyDescent="0.25">
      <c r="B28" s="108" t="s">
        <v>197</v>
      </c>
      <c r="C28" s="71"/>
      <c r="D28" s="79">
        <f>500</f>
        <v>500</v>
      </c>
      <c r="E28" s="79">
        <f>D28*12</f>
        <v>6000</v>
      </c>
      <c r="F28" s="79"/>
      <c r="G28" s="121"/>
      <c r="H28" s="163">
        <f t="shared" si="3"/>
        <v>6000</v>
      </c>
      <c r="I28" s="79"/>
      <c r="J28" s="164">
        <f t="shared" si="4"/>
        <v>120</v>
      </c>
      <c r="L28" s="91" t="s">
        <v>202</v>
      </c>
      <c r="M28" s="185">
        <f>M26*0.1</f>
        <v>3360</v>
      </c>
      <c r="N28" s="179"/>
      <c r="O28" s="178"/>
      <c r="P28" s="181"/>
    </row>
    <row r="29" spans="2:16" x14ac:dyDescent="0.25">
      <c r="B29" s="108" t="s">
        <v>198</v>
      </c>
      <c r="C29" s="71"/>
      <c r="D29" s="79">
        <f>6*1500*2</f>
        <v>18000</v>
      </c>
      <c r="E29" s="79">
        <f>D29*13</f>
        <v>234000</v>
      </c>
      <c r="F29" s="79"/>
      <c r="G29" s="121"/>
      <c r="H29" s="163">
        <f t="shared" si="3"/>
        <v>234000</v>
      </c>
      <c r="I29" s="79"/>
      <c r="J29" s="164">
        <f t="shared" si="4"/>
        <v>4680</v>
      </c>
      <c r="L29" s="91" t="s">
        <v>203</v>
      </c>
      <c r="M29" s="185">
        <f>M28+M26</f>
        <v>36960</v>
      </c>
      <c r="N29" s="179" t="s">
        <v>204</v>
      </c>
      <c r="O29" s="179"/>
      <c r="P29" s="179"/>
    </row>
    <row r="30" spans="2:16" ht="15.75" thickBot="1" x14ac:dyDescent="0.3">
      <c r="B30" s="117" t="s">
        <v>199</v>
      </c>
      <c r="C30" s="53"/>
      <c r="D30" s="157">
        <f>2500*2</f>
        <v>5000</v>
      </c>
      <c r="E30" s="79">
        <f>D30*13</f>
        <v>65000</v>
      </c>
      <c r="F30" s="157"/>
      <c r="G30" s="162"/>
      <c r="H30" s="176">
        <f t="shared" si="3"/>
        <v>65000</v>
      </c>
      <c r="I30" s="168"/>
      <c r="J30" s="169">
        <f t="shared" si="4"/>
        <v>1300</v>
      </c>
      <c r="L30" s="91" t="s">
        <v>203</v>
      </c>
      <c r="M30" s="185">
        <f>M29/8000</f>
        <v>4.62</v>
      </c>
      <c r="N30" s="179" t="s">
        <v>205</v>
      </c>
      <c r="O30" s="328"/>
      <c r="P30" s="328"/>
    </row>
    <row r="31" spans="2:16" ht="15.75" thickBot="1" x14ac:dyDescent="0.3">
      <c r="B31" s="158"/>
      <c r="C31" s="159"/>
      <c r="D31" s="160"/>
      <c r="E31" s="160"/>
      <c r="F31" s="160"/>
      <c r="G31" s="160"/>
      <c r="L31" s="186"/>
      <c r="M31" s="186"/>
      <c r="N31" s="179"/>
      <c r="O31" s="324"/>
      <c r="P31" s="324"/>
    </row>
    <row r="32" spans="2:16" ht="15.75" thickBot="1" x14ac:dyDescent="0.3">
      <c r="H32" s="170">
        <f>SUM(H20:H30)</f>
        <v>751220</v>
      </c>
      <c r="I32" s="171">
        <f t="shared" ref="I32:J32" si="5">SUM(I20:I30)</f>
        <v>17662.5</v>
      </c>
      <c r="J32" s="172">
        <f t="shared" si="5"/>
        <v>54024.4</v>
      </c>
    </row>
    <row r="33" spans="3:13" x14ac:dyDescent="0.25">
      <c r="L33" s="320" t="s">
        <v>196</v>
      </c>
      <c r="M33" s="284">
        <v>8000</v>
      </c>
    </row>
    <row r="34" spans="3:13" x14ac:dyDescent="0.25">
      <c r="J34" s="187">
        <f>SUM(H32:J32)</f>
        <v>822906.9</v>
      </c>
      <c r="K34" t="s">
        <v>177</v>
      </c>
      <c r="L34" s="320"/>
      <c r="M34" s="284"/>
    </row>
    <row r="35" spans="3:13" x14ac:dyDescent="0.25">
      <c r="J35" s="187">
        <f>J34/12</f>
        <v>68575.574999999997</v>
      </c>
      <c r="K35" t="s">
        <v>178</v>
      </c>
    </row>
    <row r="36" spans="3:13" x14ac:dyDescent="0.25">
      <c r="G36" s="313" t="s">
        <v>179</v>
      </c>
      <c r="H36" s="313"/>
      <c r="I36" s="323"/>
      <c r="J36" s="187">
        <f>J35/M33</f>
        <v>8.5719468750000001</v>
      </c>
      <c r="L36" s="116" t="s">
        <v>167</v>
      </c>
      <c r="M36" s="127">
        <v>0.06</v>
      </c>
    </row>
    <row r="37" spans="3:13" x14ac:dyDescent="0.25">
      <c r="J37" s="50"/>
      <c r="L37" s="116" t="s">
        <v>168</v>
      </c>
      <c r="M37" s="127">
        <v>0.08</v>
      </c>
    </row>
    <row r="38" spans="3:13" x14ac:dyDescent="0.25">
      <c r="C38" s="312" t="s">
        <v>154</v>
      </c>
      <c r="D38" s="312"/>
      <c r="E38" s="71">
        <v>1.8</v>
      </c>
      <c r="G38" s="313" t="s">
        <v>188</v>
      </c>
      <c r="H38" s="313"/>
      <c r="I38" s="323"/>
      <c r="J38" s="187">
        <f>J36*E38</f>
        <v>15.429504375</v>
      </c>
      <c r="L38" s="116" t="s">
        <v>169</v>
      </c>
      <c r="M38" s="127">
        <v>0.12</v>
      </c>
    </row>
  </sheetData>
  <mergeCells count="13">
    <mergeCell ref="O31:P31"/>
    <mergeCell ref="B1:O2"/>
    <mergeCell ref="B8:O15"/>
    <mergeCell ref="B17:O17"/>
    <mergeCell ref="L19:M19"/>
    <mergeCell ref="O19:P19"/>
    <mergeCell ref="O24:P24"/>
    <mergeCell ref="O30:P30"/>
    <mergeCell ref="L33:L34"/>
    <mergeCell ref="M33:M34"/>
    <mergeCell ref="G36:I36"/>
    <mergeCell ref="C38:D38"/>
    <mergeCell ref="G38:I38"/>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9156C-6221-4BB7-8378-4D12E93D3EDF}">
  <dimension ref="A1:P69"/>
  <sheetViews>
    <sheetView topLeftCell="A25" workbookViewId="0">
      <selection activeCell="K33" sqref="K33"/>
    </sheetView>
  </sheetViews>
  <sheetFormatPr baseColWidth="10" defaultRowHeight="15" x14ac:dyDescent="0.25"/>
  <cols>
    <col min="1" max="1" width="14.140625" customWidth="1"/>
    <col min="2" max="2" width="13.140625" style="50" customWidth="1"/>
    <col min="3" max="3" width="17.140625" customWidth="1"/>
    <col min="5" max="5" width="13.42578125" customWidth="1"/>
    <col min="6" max="6" width="14.28515625" customWidth="1"/>
    <col min="7" max="7" width="15.7109375" customWidth="1"/>
    <col min="9" max="9" width="11.42578125" customWidth="1"/>
    <col min="11" max="11" width="14.42578125" customWidth="1"/>
    <col min="12" max="12" width="13.85546875" customWidth="1"/>
    <col min="13" max="13" width="21.42578125" customWidth="1"/>
  </cols>
  <sheetData>
    <row r="1" spans="2:16" x14ac:dyDescent="0.25">
      <c r="B1" s="1" t="s">
        <v>74</v>
      </c>
      <c r="C1" s="289" t="s">
        <v>207</v>
      </c>
      <c r="D1" s="289"/>
      <c r="E1" s="289"/>
      <c r="F1" s="289"/>
      <c r="G1" s="289"/>
      <c r="H1" s="289"/>
      <c r="I1" s="289"/>
      <c r="J1" s="289"/>
      <c r="K1" s="289"/>
      <c r="L1" s="289"/>
      <c r="M1" s="289"/>
      <c r="N1" s="289"/>
      <c r="O1" s="289"/>
      <c r="P1" s="289"/>
    </row>
    <row r="2" spans="2:16" x14ac:dyDescent="0.25">
      <c r="B2"/>
      <c r="C2" s="289"/>
      <c r="D2" s="289"/>
      <c r="E2" s="289"/>
      <c r="F2" s="289"/>
      <c r="G2" s="289"/>
      <c r="H2" s="289"/>
      <c r="I2" s="289"/>
      <c r="J2" s="289"/>
      <c r="K2" s="289"/>
      <c r="L2" s="289"/>
      <c r="M2" s="289"/>
      <c r="N2" s="289"/>
      <c r="O2" s="289"/>
      <c r="P2" s="289"/>
    </row>
    <row r="3" spans="2:16" x14ac:dyDescent="0.25">
      <c r="B3"/>
      <c r="C3" s="289"/>
      <c r="D3" s="289"/>
      <c r="E3" s="289"/>
      <c r="F3" s="289"/>
      <c r="G3" s="289"/>
      <c r="H3" s="289"/>
      <c r="I3" s="289"/>
      <c r="J3" s="289"/>
      <c r="K3" s="289"/>
      <c r="L3" s="289"/>
      <c r="M3" s="289"/>
      <c r="N3" s="289"/>
      <c r="O3" s="289"/>
      <c r="P3" s="289"/>
    </row>
    <row r="4" spans="2:16" x14ac:dyDescent="0.25">
      <c r="B4"/>
      <c r="C4" s="289"/>
      <c r="D4" s="289"/>
      <c r="E4" s="289"/>
      <c r="F4" s="289"/>
      <c r="G4" s="289"/>
      <c r="H4" s="289"/>
      <c r="I4" s="289"/>
      <c r="J4" s="289"/>
      <c r="K4" s="289"/>
      <c r="L4" s="289"/>
      <c r="M4" s="289"/>
      <c r="N4" s="289"/>
      <c r="O4" s="289"/>
      <c r="P4" s="289"/>
    </row>
    <row r="5" spans="2:16" x14ac:dyDescent="0.25">
      <c r="B5"/>
      <c r="C5" s="289"/>
      <c r="D5" s="289"/>
      <c r="E5" s="289"/>
      <c r="F5" s="289"/>
      <c r="G5" s="289"/>
      <c r="H5" s="289"/>
      <c r="I5" s="289"/>
      <c r="J5" s="289"/>
      <c r="K5" s="289"/>
      <c r="L5" s="289"/>
      <c r="M5" s="289"/>
      <c r="N5" s="289"/>
      <c r="O5" s="289"/>
      <c r="P5" s="289"/>
    </row>
    <row r="6" spans="2:16" x14ac:dyDescent="0.25">
      <c r="B6"/>
      <c r="C6" s="289"/>
      <c r="D6" s="289"/>
      <c r="E6" s="289"/>
      <c r="F6" s="289"/>
      <c r="G6" s="289"/>
      <c r="H6" s="289"/>
      <c r="I6" s="289"/>
      <c r="J6" s="289"/>
      <c r="K6" s="289"/>
      <c r="L6" s="289"/>
      <c r="M6" s="289"/>
      <c r="N6" s="289"/>
      <c r="O6" s="289"/>
      <c r="P6" s="289"/>
    </row>
    <row r="7" spans="2:16" x14ac:dyDescent="0.25">
      <c r="B7"/>
      <c r="C7" s="289"/>
      <c r="D7" s="289"/>
      <c r="E7" s="289"/>
      <c r="F7" s="289"/>
      <c r="G7" s="289"/>
      <c r="H7" s="289"/>
      <c r="I7" s="289"/>
      <c r="J7" s="289"/>
      <c r="K7" s="289"/>
      <c r="L7" s="289"/>
      <c r="M7" s="289"/>
      <c r="N7" s="289"/>
      <c r="O7" s="289"/>
      <c r="P7" s="289"/>
    </row>
    <row r="8" spans="2:16" x14ac:dyDescent="0.25">
      <c r="B8"/>
      <c r="C8" s="289"/>
      <c r="D8" s="289"/>
      <c r="E8" s="289"/>
      <c r="F8" s="289"/>
      <c r="G8" s="289"/>
      <c r="H8" s="289"/>
      <c r="I8" s="289"/>
      <c r="J8" s="289"/>
      <c r="K8" s="289"/>
      <c r="L8" s="289"/>
      <c r="M8" s="289"/>
      <c r="N8" s="289"/>
      <c r="O8" s="289"/>
      <c r="P8" s="289"/>
    </row>
    <row r="9" spans="2:16" x14ac:dyDescent="0.25">
      <c r="B9"/>
      <c r="C9" s="289"/>
      <c r="D9" s="289"/>
      <c r="E9" s="289"/>
      <c r="F9" s="289"/>
      <c r="G9" s="289"/>
      <c r="H9" s="289"/>
      <c r="I9" s="289"/>
      <c r="J9" s="289"/>
      <c r="K9" s="289"/>
      <c r="L9" s="289"/>
      <c r="M9" s="289"/>
      <c r="N9" s="289"/>
      <c r="O9" s="289"/>
      <c r="P9" s="289"/>
    </row>
    <row r="10" spans="2:16" x14ac:dyDescent="0.25">
      <c r="B10"/>
      <c r="C10" s="289"/>
      <c r="D10" s="289"/>
      <c r="E10" s="289"/>
      <c r="F10" s="289"/>
      <c r="G10" s="289"/>
      <c r="H10" s="289"/>
      <c r="I10" s="289"/>
      <c r="J10" s="289"/>
      <c r="K10" s="289"/>
      <c r="L10" s="289"/>
      <c r="M10" s="289"/>
      <c r="N10" s="289"/>
      <c r="O10" s="289"/>
      <c r="P10" s="289"/>
    </row>
    <row r="11" spans="2:16" x14ac:dyDescent="0.25">
      <c r="B11"/>
      <c r="C11" s="289"/>
      <c r="D11" s="289"/>
      <c r="E11" s="289"/>
      <c r="F11" s="289"/>
      <c r="G11" s="289"/>
      <c r="H11" s="289"/>
      <c r="I11" s="289"/>
      <c r="J11" s="289"/>
      <c r="K11" s="289"/>
      <c r="L11" s="289"/>
      <c r="M11" s="289"/>
      <c r="N11" s="289"/>
      <c r="O11" s="289"/>
      <c r="P11" s="289"/>
    </row>
    <row r="12" spans="2:16" x14ac:dyDescent="0.25">
      <c r="B12"/>
      <c r="C12" s="289"/>
      <c r="D12" s="289"/>
      <c r="E12" s="289"/>
      <c r="F12" s="289"/>
      <c r="G12" s="289"/>
      <c r="H12" s="289"/>
      <c r="I12" s="289"/>
      <c r="J12" s="289"/>
      <c r="K12" s="289"/>
      <c r="L12" s="289"/>
      <c r="M12" s="289"/>
      <c r="N12" s="289"/>
      <c r="O12" s="289"/>
      <c r="P12" s="289"/>
    </row>
    <row r="13" spans="2:16" x14ac:dyDescent="0.25">
      <c r="B13"/>
      <c r="C13" s="289"/>
      <c r="D13" s="289"/>
      <c r="E13" s="289"/>
      <c r="F13" s="289"/>
      <c r="G13" s="289"/>
      <c r="H13" s="289"/>
      <c r="I13" s="289"/>
      <c r="J13" s="289"/>
      <c r="K13" s="289"/>
      <c r="L13" s="289"/>
      <c r="M13" s="289"/>
      <c r="N13" s="289"/>
      <c r="O13" s="289"/>
      <c r="P13" s="289"/>
    </row>
    <row r="14" spans="2:16" x14ac:dyDescent="0.25">
      <c r="B14"/>
      <c r="C14" s="289"/>
      <c r="D14" s="289"/>
      <c r="E14" s="289"/>
      <c r="F14" s="289"/>
      <c r="G14" s="289"/>
      <c r="H14" s="289"/>
      <c r="I14" s="289"/>
      <c r="J14" s="289"/>
      <c r="K14" s="289"/>
      <c r="L14" s="289"/>
      <c r="M14" s="289"/>
      <c r="N14" s="289"/>
      <c r="O14" s="289"/>
      <c r="P14" s="289"/>
    </row>
    <row r="15" spans="2:16" x14ac:dyDescent="0.25">
      <c r="C15" s="289"/>
      <c r="D15" s="289"/>
      <c r="E15" s="289"/>
      <c r="F15" s="289"/>
      <c r="G15" s="289"/>
      <c r="H15" s="289"/>
      <c r="I15" s="289"/>
      <c r="J15" s="289"/>
      <c r="K15" s="289"/>
      <c r="L15" s="289"/>
      <c r="M15" s="289"/>
      <c r="N15" s="289"/>
      <c r="O15" s="289"/>
      <c r="P15" s="289"/>
    </row>
    <row r="16" spans="2:16" x14ac:dyDescent="0.25">
      <c r="C16" s="289"/>
      <c r="D16" s="289"/>
      <c r="E16" s="289"/>
      <c r="F16" s="289"/>
      <c r="G16" s="289"/>
      <c r="H16" s="289"/>
      <c r="I16" s="289"/>
      <c r="J16" s="289"/>
      <c r="K16" s="289"/>
      <c r="L16" s="289"/>
      <c r="M16" s="289"/>
      <c r="N16" s="289"/>
      <c r="O16" s="289"/>
      <c r="P16" s="289"/>
    </row>
    <row r="17" spans="1:16" x14ac:dyDescent="0.25">
      <c r="C17" s="289"/>
      <c r="D17" s="289"/>
      <c r="E17" s="289"/>
      <c r="F17" s="289"/>
      <c r="G17" s="289"/>
      <c r="H17" s="289"/>
      <c r="I17" s="289"/>
      <c r="J17" s="289"/>
      <c r="K17" s="289"/>
      <c r="L17" s="289"/>
      <c r="M17" s="289"/>
      <c r="N17" s="289"/>
      <c r="O17" s="289"/>
      <c r="P17" s="289"/>
    </row>
    <row r="18" spans="1:16" x14ac:dyDescent="0.25">
      <c r="C18" s="289"/>
      <c r="D18" s="289"/>
      <c r="E18" s="289"/>
      <c r="F18" s="289"/>
      <c r="G18" s="289"/>
      <c r="H18" s="289"/>
      <c r="I18" s="289"/>
      <c r="J18" s="289"/>
      <c r="K18" s="289"/>
      <c r="L18" s="289"/>
      <c r="M18" s="289"/>
      <c r="N18" s="289"/>
      <c r="O18" s="289"/>
      <c r="P18" s="289"/>
    </row>
    <row r="19" spans="1:16" x14ac:dyDescent="0.25">
      <c r="C19" s="289"/>
      <c r="D19" s="289"/>
      <c r="E19" s="289"/>
      <c r="F19" s="289"/>
      <c r="G19" s="289"/>
      <c r="H19" s="289"/>
      <c r="I19" s="289"/>
      <c r="J19" s="289"/>
      <c r="K19" s="289"/>
      <c r="L19" s="289"/>
      <c r="M19" s="289"/>
      <c r="N19" s="289"/>
      <c r="O19" s="289"/>
      <c r="P19" s="289"/>
    </row>
    <row r="20" spans="1:16" x14ac:dyDescent="0.25">
      <c r="C20" s="289"/>
      <c r="D20" s="289"/>
      <c r="E20" s="289"/>
      <c r="F20" s="289"/>
      <c r="G20" s="289"/>
      <c r="H20" s="289"/>
      <c r="I20" s="289"/>
      <c r="J20" s="289"/>
      <c r="K20" s="289"/>
      <c r="L20" s="289"/>
      <c r="M20" s="289"/>
      <c r="N20" s="289"/>
      <c r="O20" s="289"/>
      <c r="P20" s="289"/>
    </row>
    <row r="21" spans="1:16" x14ac:dyDescent="0.25">
      <c r="C21" s="4"/>
      <c r="D21" s="4"/>
      <c r="E21" s="4"/>
      <c r="F21" s="4"/>
      <c r="G21" s="4"/>
      <c r="H21" s="4"/>
      <c r="I21" s="4"/>
      <c r="J21" s="4"/>
      <c r="K21" s="4"/>
      <c r="L21" s="4"/>
      <c r="M21" s="4"/>
      <c r="N21" s="4"/>
      <c r="O21" s="4"/>
      <c r="P21" s="4"/>
    </row>
    <row r="22" spans="1:16" ht="15" customHeight="1" x14ac:dyDescent="0.25">
      <c r="C22" s="289" t="s">
        <v>235</v>
      </c>
      <c r="D22" s="289"/>
      <c r="E22" s="289"/>
      <c r="F22" s="289"/>
      <c r="G22" s="289"/>
      <c r="H22" s="289"/>
      <c r="I22" s="289"/>
      <c r="J22" s="289"/>
      <c r="K22" s="289"/>
      <c r="L22" s="289"/>
      <c r="M22" s="289"/>
      <c r="N22" s="289"/>
      <c r="O22" s="289"/>
      <c r="P22" s="289"/>
    </row>
    <row r="23" spans="1:16" x14ac:dyDescent="0.25">
      <c r="C23" s="289"/>
      <c r="D23" s="289"/>
      <c r="E23" s="289"/>
      <c r="F23" s="289"/>
      <c r="G23" s="289"/>
      <c r="H23" s="289"/>
      <c r="I23" s="289"/>
      <c r="J23" s="289"/>
      <c r="K23" s="289"/>
      <c r="L23" s="289"/>
      <c r="M23" s="289"/>
      <c r="N23" s="289"/>
      <c r="O23" s="289"/>
      <c r="P23" s="289"/>
    </row>
    <row r="24" spans="1:16" x14ac:dyDescent="0.25">
      <c r="C24" s="289"/>
      <c r="D24" s="289"/>
      <c r="E24" s="289"/>
      <c r="F24" s="289"/>
      <c r="G24" s="289"/>
      <c r="H24" s="289"/>
      <c r="I24" s="289"/>
      <c r="J24" s="289"/>
      <c r="K24" s="289"/>
      <c r="L24" s="289"/>
      <c r="M24" s="289"/>
      <c r="N24" s="289"/>
      <c r="O24" s="289"/>
      <c r="P24" s="289"/>
    </row>
    <row r="25" spans="1:16" x14ac:dyDescent="0.25">
      <c r="C25" s="289"/>
      <c r="D25" s="289"/>
      <c r="E25" s="289"/>
      <c r="F25" s="289"/>
      <c r="G25" s="289"/>
      <c r="H25" s="289"/>
      <c r="I25" s="289"/>
      <c r="J25" s="289"/>
      <c r="K25" s="289"/>
      <c r="L25" s="289"/>
      <c r="M25" s="289"/>
      <c r="N25" s="289"/>
      <c r="O25" s="289"/>
      <c r="P25" s="289"/>
    </row>
    <row r="26" spans="1:16" ht="15.75" thickBot="1" x14ac:dyDescent="0.3"/>
    <row r="27" spans="1:16" x14ac:dyDescent="0.25">
      <c r="A27" s="330" t="s">
        <v>244</v>
      </c>
      <c r="B27" s="330"/>
      <c r="C27" s="119"/>
      <c r="D27" s="119" t="s">
        <v>34</v>
      </c>
      <c r="E27" s="119" t="s">
        <v>55</v>
      </c>
      <c r="F27" s="119" t="s">
        <v>36</v>
      </c>
      <c r="G27" s="119" t="s">
        <v>40</v>
      </c>
      <c r="H27" s="120" t="s">
        <v>35</v>
      </c>
      <c r="I27" s="123" t="s">
        <v>89</v>
      </c>
      <c r="J27" s="124" t="s">
        <v>27</v>
      </c>
      <c r="K27" s="125" t="s">
        <v>43</v>
      </c>
      <c r="M27" s="326" t="s">
        <v>80</v>
      </c>
      <c r="N27" s="326"/>
    </row>
    <row r="28" spans="1:16" x14ac:dyDescent="0.25">
      <c r="A28" s="330" t="s">
        <v>245</v>
      </c>
      <c r="B28" s="330"/>
      <c r="C28" s="202" t="s">
        <v>217</v>
      </c>
      <c r="D28" s="98">
        <v>400000</v>
      </c>
      <c r="E28" s="203">
        <v>400000</v>
      </c>
      <c r="F28" s="205"/>
      <c r="G28" s="205"/>
      <c r="H28" s="206"/>
      <c r="I28" s="198"/>
      <c r="J28" s="210"/>
      <c r="K28" s="164">
        <f>E28*$N$41</f>
        <v>28000.000000000004</v>
      </c>
      <c r="M28" s="149" t="s">
        <v>218</v>
      </c>
      <c r="N28" s="149" t="s">
        <v>201</v>
      </c>
    </row>
    <row r="29" spans="1:16" x14ac:dyDescent="0.25">
      <c r="A29" s="330" t="s">
        <v>248</v>
      </c>
      <c r="B29" s="330"/>
      <c r="C29" s="149" t="s">
        <v>77</v>
      </c>
      <c r="D29" s="105">
        <v>300000</v>
      </c>
      <c r="E29" s="107">
        <f>((D29-F29)*(H29/G29))+F29</f>
        <v>300000</v>
      </c>
      <c r="F29" s="105">
        <f>D29*0.1</f>
        <v>30000</v>
      </c>
      <c r="G29" s="52">
        <v>30</v>
      </c>
      <c r="H29" s="151">
        <v>30</v>
      </c>
      <c r="I29" s="198"/>
      <c r="J29" s="79">
        <f>(D29-F29)/G29</f>
        <v>9000</v>
      </c>
      <c r="K29" s="164">
        <f>E29*$N$42</f>
        <v>30000</v>
      </c>
      <c r="M29" s="149">
        <v>1</v>
      </c>
      <c r="N29" s="79">
        <v>500</v>
      </c>
      <c r="O29" s="149">
        <f>M33</f>
        <v>25000</v>
      </c>
      <c r="P29" s="79">
        <f>O29*N29</f>
        <v>12500000</v>
      </c>
    </row>
    <row r="30" spans="1:16" x14ac:dyDescent="0.25">
      <c r="A30" s="330" t="s">
        <v>248</v>
      </c>
      <c r="B30" s="330"/>
      <c r="C30" s="232" t="s">
        <v>195</v>
      </c>
      <c r="D30" s="233">
        <v>180000</v>
      </c>
      <c r="E30" s="234">
        <f>((D30-F30)*(H30/G30))+F30</f>
        <v>180000</v>
      </c>
      <c r="F30" s="233">
        <f>D30*0.2</f>
        <v>36000</v>
      </c>
      <c r="G30" s="235">
        <v>10</v>
      </c>
      <c r="H30" s="236">
        <v>10</v>
      </c>
      <c r="I30" s="198"/>
      <c r="J30" s="79">
        <f>(E30-F30)/H30</f>
        <v>14400</v>
      </c>
      <c r="K30" s="164">
        <f>E30*$N$42</f>
        <v>18000</v>
      </c>
    </row>
    <row r="31" spans="1:16" x14ac:dyDescent="0.25">
      <c r="A31" s="330"/>
      <c r="B31" s="330"/>
      <c r="C31" s="239"/>
      <c r="D31" s="240"/>
      <c r="E31" s="240"/>
      <c r="F31" s="240"/>
      <c r="G31" s="239"/>
      <c r="H31" s="239"/>
      <c r="I31" s="198"/>
      <c r="J31" s="210"/>
      <c r="K31" s="199"/>
      <c r="M31" s="149" t="s">
        <v>218</v>
      </c>
      <c r="N31" s="149" t="s">
        <v>219</v>
      </c>
    </row>
    <row r="32" spans="1:16" x14ac:dyDescent="0.25">
      <c r="A32" s="330"/>
      <c r="B32" s="330"/>
      <c r="C32" s="83"/>
      <c r="D32" s="111"/>
      <c r="E32" s="237" t="s">
        <v>178</v>
      </c>
      <c r="F32" s="237" t="s">
        <v>177</v>
      </c>
      <c r="G32" s="83"/>
      <c r="H32" s="238"/>
      <c r="I32" s="198"/>
      <c r="J32" s="210"/>
      <c r="K32" s="199"/>
      <c r="M32" s="149">
        <v>1</v>
      </c>
      <c r="N32" s="149">
        <v>1000</v>
      </c>
    </row>
    <row r="33" spans="1:16" x14ac:dyDescent="0.25">
      <c r="A33" s="330" t="s">
        <v>247</v>
      </c>
      <c r="B33" s="330"/>
      <c r="C33" s="210" t="s">
        <v>227</v>
      </c>
      <c r="D33" s="79"/>
      <c r="E33" s="79">
        <v>2800</v>
      </c>
      <c r="F33" s="79">
        <f>E33*12</f>
        <v>33600</v>
      </c>
      <c r="G33" s="210"/>
      <c r="H33" s="211"/>
      <c r="I33" s="163">
        <f>F33</f>
        <v>33600</v>
      </c>
      <c r="J33" s="210"/>
      <c r="K33" s="164">
        <f>I33*$N$43*(4/12)</f>
        <v>1680</v>
      </c>
      <c r="M33" s="149">
        <f>N33*M32/N32</f>
        <v>25000</v>
      </c>
      <c r="N33" s="149">
        <f>N40</f>
        <v>25000000</v>
      </c>
    </row>
    <row r="34" spans="1:16" x14ac:dyDescent="0.25">
      <c r="A34" s="330" t="s">
        <v>247</v>
      </c>
      <c r="B34" s="330"/>
      <c r="C34" s="202" t="s">
        <v>80</v>
      </c>
      <c r="D34" s="207"/>
      <c r="E34" s="207"/>
      <c r="F34" s="207">
        <f>P29+P36</f>
        <v>13750000</v>
      </c>
      <c r="G34" s="202"/>
      <c r="H34" s="206"/>
      <c r="I34" s="163">
        <f>F34</f>
        <v>13750000</v>
      </c>
      <c r="J34" s="210"/>
      <c r="K34" s="164">
        <f>I34*$N$43*(4/12)</f>
        <v>687500</v>
      </c>
    </row>
    <row r="35" spans="1:16" x14ac:dyDescent="0.25">
      <c r="A35" s="330" t="s">
        <v>247</v>
      </c>
      <c r="B35" s="330"/>
      <c r="C35" s="210" t="s">
        <v>138</v>
      </c>
      <c r="D35" s="79">
        <v>1500</v>
      </c>
      <c r="E35" s="79">
        <f>D35/2</f>
        <v>750</v>
      </c>
      <c r="F35" s="79">
        <f>E35*12</f>
        <v>9000</v>
      </c>
      <c r="G35" s="79"/>
      <c r="H35" s="211"/>
      <c r="I35" s="163">
        <f t="shared" ref="I35:I36" si="0">F35</f>
        <v>9000</v>
      </c>
      <c r="J35" s="210"/>
      <c r="K35" s="164">
        <f>I35*$N$43*(4/12)</f>
        <v>450</v>
      </c>
      <c r="M35" s="149" t="s">
        <v>220</v>
      </c>
      <c r="N35" s="149" t="s">
        <v>201</v>
      </c>
      <c r="O35" s="50"/>
      <c r="P35" s="50"/>
    </row>
    <row r="36" spans="1:16" x14ac:dyDescent="0.25">
      <c r="A36" s="330" t="s">
        <v>247</v>
      </c>
      <c r="B36" s="337"/>
      <c r="C36" s="53" t="s">
        <v>228</v>
      </c>
      <c r="D36" s="241"/>
      <c r="E36" s="241">
        <v>2800</v>
      </c>
      <c r="F36" s="157">
        <f>E36*12</f>
        <v>33600</v>
      </c>
      <c r="G36" s="53"/>
      <c r="H36" s="197"/>
      <c r="I36" s="163">
        <f t="shared" si="0"/>
        <v>33600</v>
      </c>
      <c r="J36" s="210"/>
      <c r="K36" s="164">
        <f>I36*$N$43*(4/12)</f>
        <v>1680</v>
      </c>
      <c r="M36" s="149">
        <v>500</v>
      </c>
      <c r="N36" s="79">
        <v>25</v>
      </c>
      <c r="O36" s="149">
        <f>N40/M36</f>
        <v>50000</v>
      </c>
      <c r="P36" s="79">
        <f>O36*N36</f>
        <v>1250000</v>
      </c>
    </row>
    <row r="37" spans="1:16" x14ac:dyDescent="0.25">
      <c r="A37" s="330"/>
      <c r="B37" s="330"/>
      <c r="C37" s="245"/>
      <c r="D37" s="114"/>
      <c r="E37" s="246"/>
      <c r="F37" s="114"/>
      <c r="G37" s="114"/>
      <c r="H37" s="115"/>
      <c r="I37" s="163"/>
      <c r="J37" s="210"/>
      <c r="K37" s="164"/>
    </row>
    <row r="38" spans="1:16" x14ac:dyDescent="0.25">
      <c r="A38" s="330"/>
      <c r="B38" s="330"/>
      <c r="C38" s="209"/>
      <c r="D38" s="242" t="s">
        <v>178</v>
      </c>
      <c r="E38" s="242" t="s">
        <v>230</v>
      </c>
      <c r="F38" s="242" t="s">
        <v>232</v>
      </c>
      <c r="G38" s="243" t="s">
        <v>231</v>
      </c>
      <c r="H38" s="244" t="s">
        <v>233</v>
      </c>
      <c r="I38" s="163"/>
      <c r="J38" s="210"/>
      <c r="K38" s="164"/>
      <c r="M38" s="150" t="s">
        <v>221</v>
      </c>
    </row>
    <row r="39" spans="1:16" x14ac:dyDescent="0.25">
      <c r="A39" s="330" t="s">
        <v>247</v>
      </c>
      <c r="B39" s="331"/>
      <c r="C39" s="209" t="s">
        <v>229</v>
      </c>
      <c r="D39" s="182">
        <v>1800</v>
      </c>
      <c r="E39" s="182">
        <f>0.5*N39/12</f>
        <v>1041.6666666666667</v>
      </c>
      <c r="F39" s="182">
        <f>(D39+E39)*0.6</f>
        <v>1705.0000000000002</v>
      </c>
      <c r="G39" s="182">
        <f>D39+E39+F39</f>
        <v>4546.666666666667</v>
      </c>
      <c r="H39" s="248">
        <f>G39*3*13</f>
        <v>177320</v>
      </c>
      <c r="I39" s="165">
        <f>H39</f>
        <v>177320</v>
      </c>
      <c r="J39" s="210"/>
      <c r="K39" s="164">
        <f>I39*$N$43*(4/12)</f>
        <v>8866</v>
      </c>
      <c r="M39" s="149" t="s">
        <v>222</v>
      </c>
      <c r="N39" s="150">
        <v>25000</v>
      </c>
    </row>
    <row r="40" spans="1:16" ht="15.75" thickBot="1" x14ac:dyDescent="0.3">
      <c r="A40" s="330" t="s">
        <v>247</v>
      </c>
      <c r="B40" s="331"/>
      <c r="C40" s="258" t="s">
        <v>234</v>
      </c>
      <c r="D40" s="182">
        <f>3000*0.2</f>
        <v>600</v>
      </c>
      <c r="E40" s="182"/>
      <c r="F40" s="182"/>
      <c r="G40" s="209"/>
      <c r="H40" s="247">
        <f>D40*12</f>
        <v>7200</v>
      </c>
      <c r="I40" s="200">
        <f>H40</f>
        <v>7200</v>
      </c>
      <c r="J40" s="53"/>
      <c r="K40" s="201">
        <f>I40*$N$43*(4/12)</f>
        <v>360</v>
      </c>
      <c r="M40" s="150" t="s">
        <v>223</v>
      </c>
      <c r="N40" s="150">
        <f>N39*1000</f>
        <v>25000000</v>
      </c>
    </row>
    <row r="41" spans="1:16" ht="15.75" thickBot="1" x14ac:dyDescent="0.3">
      <c r="B41"/>
      <c r="C41" s="259"/>
      <c r="D41" s="195"/>
      <c r="E41" s="195"/>
      <c r="F41" s="195"/>
      <c r="G41" s="50"/>
      <c r="H41" s="50"/>
      <c r="I41" s="225">
        <f>SUM(I28:I40)</f>
        <v>14010720</v>
      </c>
      <c r="J41" s="226">
        <f>SUM(J28:J40)</f>
        <v>23400</v>
      </c>
      <c r="K41" s="227">
        <f>SUM(K28:K40)</f>
        <v>776536</v>
      </c>
      <c r="M41" s="212" t="s">
        <v>167</v>
      </c>
      <c r="N41" s="127">
        <v>7.0000000000000007E-2</v>
      </c>
    </row>
    <row r="42" spans="1:16" ht="15.75" thickBot="1" x14ac:dyDescent="0.3">
      <c r="A42" s="334" t="s">
        <v>249</v>
      </c>
      <c r="B42" s="335"/>
      <c r="C42">
        <v>250000</v>
      </c>
      <c r="M42" s="212" t="s">
        <v>168</v>
      </c>
      <c r="N42" s="127">
        <v>0.1</v>
      </c>
    </row>
    <row r="43" spans="1:16" x14ac:dyDescent="0.25">
      <c r="A43" s="338" t="s">
        <v>217</v>
      </c>
      <c r="B43" s="260" t="s">
        <v>250</v>
      </c>
      <c r="C43">
        <v>25000</v>
      </c>
      <c r="D43">
        <f>C42/C43</f>
        <v>10</v>
      </c>
      <c r="G43" s="230"/>
      <c r="K43" s="77">
        <f>SUM(I41:K41)</f>
        <v>14810656</v>
      </c>
      <c r="L43" t="s">
        <v>177</v>
      </c>
      <c r="M43" s="212" t="s">
        <v>169</v>
      </c>
      <c r="N43" s="127">
        <v>0.15</v>
      </c>
    </row>
    <row r="44" spans="1:16" x14ac:dyDescent="0.25">
      <c r="A44" s="339"/>
      <c r="B44" s="199" t="s">
        <v>246</v>
      </c>
      <c r="K44" s="77">
        <f>K43/12</f>
        <v>1234221.3333333333</v>
      </c>
      <c r="L44" t="s">
        <v>178</v>
      </c>
    </row>
    <row r="45" spans="1:16" ht="15.75" thickBot="1" x14ac:dyDescent="0.3">
      <c r="A45" s="340"/>
      <c r="B45" s="261" t="s">
        <v>253</v>
      </c>
      <c r="H45" s="323" t="s">
        <v>179</v>
      </c>
      <c r="I45" s="332"/>
      <c r="J45" s="333"/>
      <c r="K45" s="77">
        <f>K43/N39</f>
        <v>592.42624000000001</v>
      </c>
      <c r="L45" t="s">
        <v>239</v>
      </c>
    </row>
    <row r="46" spans="1:16" x14ac:dyDescent="0.25">
      <c r="A46" s="338" t="s">
        <v>77</v>
      </c>
      <c r="B46" s="260" t="s">
        <v>250</v>
      </c>
      <c r="D46" s="321" t="s">
        <v>216</v>
      </c>
      <c r="E46" s="336"/>
      <c r="F46" s="145">
        <v>0.19</v>
      </c>
      <c r="K46" s="77">
        <f>K43/O36</f>
        <v>296.21312</v>
      </c>
      <c r="L46" t="s">
        <v>240</v>
      </c>
    </row>
    <row r="47" spans="1:16" x14ac:dyDescent="0.25">
      <c r="A47" s="339"/>
      <c r="B47" s="199" t="s">
        <v>246</v>
      </c>
      <c r="D47" s="321" t="s">
        <v>181</v>
      </c>
      <c r="E47" s="336"/>
      <c r="F47" s="146">
        <v>0.23</v>
      </c>
    </row>
    <row r="48" spans="1:16" ht="15.75" thickBot="1" x14ac:dyDescent="0.3">
      <c r="A48" s="340"/>
      <c r="B48" s="261" t="s">
        <v>253</v>
      </c>
      <c r="D48" s="321" t="s">
        <v>105</v>
      </c>
      <c r="E48" s="336"/>
      <c r="F48" s="194">
        <v>0.3</v>
      </c>
      <c r="H48" s="323" t="s">
        <v>188</v>
      </c>
      <c r="I48" s="332"/>
      <c r="J48" s="333"/>
      <c r="K48" s="77">
        <f>K45*F51</f>
        <v>1127.2745737344001</v>
      </c>
      <c r="L48" t="s">
        <v>239</v>
      </c>
    </row>
    <row r="49" spans="1:14" x14ac:dyDescent="0.25">
      <c r="A49" s="338" t="s">
        <v>195</v>
      </c>
      <c r="B49" s="260" t="s">
        <v>250</v>
      </c>
      <c r="K49" s="241">
        <f>K46*F51</f>
        <v>563.63728686720003</v>
      </c>
      <c r="L49" t="s">
        <v>240</v>
      </c>
    </row>
    <row r="50" spans="1:14" x14ac:dyDescent="0.25">
      <c r="A50" s="339"/>
      <c r="B50" s="199" t="s">
        <v>246</v>
      </c>
      <c r="K50" s="253"/>
      <c r="M50" s="85" t="s">
        <v>241</v>
      </c>
    </row>
    <row r="51" spans="1:14" ht="15.75" thickBot="1" x14ac:dyDescent="0.3">
      <c r="A51" s="340"/>
      <c r="B51" s="261" t="s">
        <v>253</v>
      </c>
      <c r="D51" s="322" t="s">
        <v>154</v>
      </c>
      <c r="E51" s="322"/>
      <c r="F51" s="148">
        <f>(1+F46)*(1+F47)*(1+F48)</f>
        <v>1.9028100000000001</v>
      </c>
      <c r="G51" s="256" t="s">
        <v>242</v>
      </c>
      <c r="H51" s="329" t="s">
        <v>236</v>
      </c>
      <c r="I51" s="329"/>
      <c r="J51" s="329"/>
      <c r="K51" s="255">
        <f>K43+L51</f>
        <v>17624680.640000001</v>
      </c>
      <c r="L51" s="250">
        <f>K43*F46</f>
        <v>2814024.64</v>
      </c>
      <c r="M51" s="257">
        <f>K46+N51</f>
        <v>352.49361279999999</v>
      </c>
      <c r="N51" s="249">
        <f>K46*F46</f>
        <v>56.280492800000005</v>
      </c>
    </row>
    <row r="52" spans="1:14" x14ac:dyDescent="0.25">
      <c r="A52" s="338" t="s">
        <v>227</v>
      </c>
      <c r="B52" s="260" t="s">
        <v>251</v>
      </c>
      <c r="G52" s="256"/>
      <c r="H52" s="309" t="s">
        <v>237</v>
      </c>
      <c r="I52" s="309"/>
      <c r="J52" s="309"/>
      <c r="K52" s="252">
        <f>K51+L52</f>
        <v>21678357.187200002</v>
      </c>
      <c r="L52" s="250">
        <f>K51*F47</f>
        <v>4053676.5472000004</v>
      </c>
      <c r="M52" s="254">
        <f>M51+N52</f>
        <v>433.56714374399996</v>
      </c>
      <c r="N52" s="249">
        <f>M51*F47</f>
        <v>81.073530943999998</v>
      </c>
    </row>
    <row r="53" spans="1:14" x14ac:dyDescent="0.25">
      <c r="A53" s="339"/>
      <c r="B53" s="199" t="s">
        <v>246</v>
      </c>
      <c r="G53" s="256" t="s">
        <v>243</v>
      </c>
      <c r="H53" s="309" t="s">
        <v>238</v>
      </c>
      <c r="I53" s="309"/>
      <c r="J53" s="309"/>
      <c r="K53" s="252">
        <f>K52+L53</f>
        <v>28181864.343360003</v>
      </c>
      <c r="L53" s="196">
        <f>K52*F48</f>
        <v>6503507.1561600007</v>
      </c>
      <c r="M53" s="257">
        <f>N53+M52</f>
        <v>563.63728686719992</v>
      </c>
      <c r="N53" s="249">
        <f>M52*F48</f>
        <v>130.07014312319998</v>
      </c>
    </row>
    <row r="54" spans="1:14" ht="15.75" thickBot="1" x14ac:dyDescent="0.3">
      <c r="A54" s="340"/>
      <c r="B54" s="261" t="s">
        <v>253</v>
      </c>
      <c r="K54" s="196"/>
    </row>
    <row r="55" spans="1:14" x14ac:dyDescent="0.25">
      <c r="A55" s="338" t="s">
        <v>80</v>
      </c>
      <c r="B55" s="260" t="s">
        <v>251</v>
      </c>
    </row>
    <row r="56" spans="1:14" x14ac:dyDescent="0.25">
      <c r="A56" s="339"/>
      <c r="B56" s="199" t="s">
        <v>252</v>
      </c>
    </row>
    <row r="57" spans="1:14" ht="15.75" thickBot="1" x14ac:dyDescent="0.3">
      <c r="A57" s="340"/>
      <c r="B57" s="261" t="s">
        <v>253</v>
      </c>
    </row>
    <row r="58" spans="1:14" x14ac:dyDescent="0.25">
      <c r="A58" s="338" t="s">
        <v>138</v>
      </c>
      <c r="B58" s="260" t="s">
        <v>251</v>
      </c>
    </row>
    <row r="59" spans="1:14" x14ac:dyDescent="0.25">
      <c r="A59" s="339"/>
      <c r="B59" s="199" t="s">
        <v>246</v>
      </c>
    </row>
    <row r="60" spans="1:14" ht="15.75" thickBot="1" x14ac:dyDescent="0.3">
      <c r="A60" s="340"/>
      <c r="B60" s="261" t="s">
        <v>253</v>
      </c>
    </row>
    <row r="61" spans="1:14" ht="15" customHeight="1" x14ac:dyDescent="0.25">
      <c r="A61" s="338" t="s">
        <v>228</v>
      </c>
      <c r="B61" s="260" t="s">
        <v>251</v>
      </c>
    </row>
    <row r="62" spans="1:14" x14ac:dyDescent="0.25">
      <c r="A62" s="339"/>
      <c r="B62" s="199" t="s">
        <v>246</v>
      </c>
    </row>
    <row r="63" spans="1:14" ht="15.75" thickBot="1" x14ac:dyDescent="0.3">
      <c r="A63" s="340"/>
      <c r="B63" s="261" t="s">
        <v>254</v>
      </c>
    </row>
    <row r="64" spans="1:14" x14ac:dyDescent="0.25">
      <c r="A64" s="338" t="s">
        <v>229</v>
      </c>
      <c r="B64" s="260" t="s">
        <v>251</v>
      </c>
    </row>
    <row r="65" spans="1:2" x14ac:dyDescent="0.25">
      <c r="A65" s="339"/>
      <c r="B65" s="199" t="s">
        <v>255</v>
      </c>
    </row>
    <row r="66" spans="1:2" ht="15.75" thickBot="1" x14ac:dyDescent="0.3">
      <c r="A66" s="340"/>
      <c r="B66" s="261" t="s">
        <v>253</v>
      </c>
    </row>
    <row r="67" spans="1:2" x14ac:dyDescent="0.25">
      <c r="A67" s="338" t="s">
        <v>234</v>
      </c>
      <c r="B67" s="260" t="s">
        <v>250</v>
      </c>
    </row>
    <row r="68" spans="1:2" x14ac:dyDescent="0.25">
      <c r="A68" s="339"/>
      <c r="B68" s="199" t="s">
        <v>246</v>
      </c>
    </row>
    <row r="69" spans="1:2" ht="15.75" thickBot="1" x14ac:dyDescent="0.3">
      <c r="A69" s="340"/>
      <c r="B69" s="261" t="s">
        <v>253</v>
      </c>
    </row>
  </sheetData>
  <mergeCells count="36">
    <mergeCell ref="A58:A60"/>
    <mergeCell ref="A61:A63"/>
    <mergeCell ref="A43:A45"/>
    <mergeCell ref="A64:A66"/>
    <mergeCell ref="A67:A69"/>
    <mergeCell ref="A46:A48"/>
    <mergeCell ref="A49:A51"/>
    <mergeCell ref="A52:A54"/>
    <mergeCell ref="A55:A57"/>
    <mergeCell ref="A27:B27"/>
    <mergeCell ref="A28:B28"/>
    <mergeCell ref="A29:B29"/>
    <mergeCell ref="A30:B30"/>
    <mergeCell ref="D48:E48"/>
    <mergeCell ref="D46:E46"/>
    <mergeCell ref="D47:E47"/>
    <mergeCell ref="A36:B36"/>
    <mergeCell ref="A37:B37"/>
    <mergeCell ref="A38:B38"/>
    <mergeCell ref="A40:B40"/>
    <mergeCell ref="A31:B31"/>
    <mergeCell ref="A32:B32"/>
    <mergeCell ref="A33:B33"/>
    <mergeCell ref="A34:B34"/>
    <mergeCell ref="A35:B35"/>
    <mergeCell ref="A39:B39"/>
    <mergeCell ref="H45:J45"/>
    <mergeCell ref="H48:J48"/>
    <mergeCell ref="A42:B42"/>
    <mergeCell ref="D51:E51"/>
    <mergeCell ref="H52:J52"/>
    <mergeCell ref="H53:J53"/>
    <mergeCell ref="C22:P25"/>
    <mergeCell ref="C1:P20"/>
    <mergeCell ref="M27:N27"/>
    <mergeCell ref="H51:J5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7EBCC-B01A-449B-8221-AAB968131FA0}">
  <dimension ref="A1:Q75"/>
  <sheetViews>
    <sheetView tabSelected="1" topLeftCell="C34" zoomScaleNormal="100" workbookViewId="0">
      <selection activeCell="K50" sqref="K50"/>
    </sheetView>
  </sheetViews>
  <sheetFormatPr baseColWidth="10" defaultRowHeight="15" x14ac:dyDescent="0.25"/>
  <cols>
    <col min="1" max="1" width="14.7109375" customWidth="1"/>
    <col min="2" max="2" width="12.5703125" customWidth="1"/>
    <col min="4" max="4" width="16.5703125" customWidth="1"/>
    <col min="7" max="7" width="13.140625" bestFit="1" customWidth="1"/>
    <col min="10" max="11" width="13.140625" bestFit="1" customWidth="1"/>
  </cols>
  <sheetData>
    <row r="1" spans="3:17" ht="15" customHeight="1" x14ac:dyDescent="0.25">
      <c r="C1" s="1" t="s">
        <v>75</v>
      </c>
      <c r="D1" s="289" t="s">
        <v>226</v>
      </c>
      <c r="E1" s="289"/>
      <c r="F1" s="289"/>
      <c r="G1" s="289"/>
      <c r="H1" s="289"/>
      <c r="I1" s="289"/>
      <c r="J1" s="289"/>
      <c r="K1" s="289"/>
      <c r="L1" s="289"/>
      <c r="M1" s="289"/>
      <c r="N1" s="289"/>
      <c r="O1" s="289"/>
      <c r="P1" s="289"/>
      <c r="Q1" s="289"/>
    </row>
    <row r="2" spans="3:17" x14ac:dyDescent="0.25">
      <c r="D2" s="289"/>
      <c r="E2" s="289"/>
      <c r="F2" s="289"/>
      <c r="G2" s="289"/>
      <c r="H2" s="289"/>
      <c r="I2" s="289"/>
      <c r="J2" s="289"/>
      <c r="K2" s="289"/>
      <c r="L2" s="289"/>
      <c r="M2" s="289"/>
      <c r="N2" s="289"/>
      <c r="O2" s="289"/>
      <c r="P2" s="289"/>
      <c r="Q2" s="289"/>
    </row>
    <row r="3" spans="3:17" x14ac:dyDescent="0.25">
      <c r="D3" s="289"/>
      <c r="E3" s="289"/>
      <c r="F3" s="289"/>
      <c r="G3" s="289"/>
      <c r="H3" s="289"/>
      <c r="I3" s="289"/>
      <c r="J3" s="289"/>
      <c r="K3" s="289"/>
      <c r="L3" s="289"/>
      <c r="M3" s="289"/>
      <c r="N3" s="289"/>
      <c r="O3" s="289"/>
      <c r="P3" s="289"/>
      <c r="Q3" s="289"/>
    </row>
    <row r="4" spans="3:17" x14ac:dyDescent="0.25">
      <c r="D4" s="289"/>
      <c r="E4" s="289"/>
      <c r="F4" s="289"/>
      <c r="G4" s="289"/>
      <c r="H4" s="289"/>
      <c r="I4" s="289"/>
      <c r="J4" s="289"/>
      <c r="K4" s="289"/>
      <c r="L4" s="289"/>
      <c r="M4" s="289"/>
      <c r="N4" s="289"/>
      <c r="O4" s="289"/>
      <c r="P4" s="289"/>
      <c r="Q4" s="289"/>
    </row>
    <row r="5" spans="3:17" x14ac:dyDescent="0.25">
      <c r="D5" s="289"/>
      <c r="E5" s="289"/>
      <c r="F5" s="289"/>
      <c r="G5" s="289"/>
      <c r="H5" s="289"/>
      <c r="I5" s="289"/>
      <c r="J5" s="289"/>
      <c r="K5" s="289"/>
      <c r="L5" s="289"/>
      <c r="M5" s="289"/>
      <c r="N5" s="289"/>
      <c r="O5" s="289"/>
      <c r="P5" s="289"/>
      <c r="Q5" s="289"/>
    </row>
    <row r="6" spans="3:17" x14ac:dyDescent="0.25">
      <c r="D6" s="289"/>
      <c r="E6" s="289"/>
      <c r="F6" s="289"/>
      <c r="G6" s="289"/>
      <c r="H6" s="289"/>
      <c r="I6" s="289"/>
      <c r="J6" s="289"/>
      <c r="K6" s="289"/>
      <c r="L6" s="289"/>
      <c r="M6" s="289"/>
      <c r="N6" s="289"/>
      <c r="O6" s="289"/>
      <c r="P6" s="289"/>
      <c r="Q6" s="289"/>
    </row>
    <row r="7" spans="3:17" x14ac:dyDescent="0.25">
      <c r="D7" s="289"/>
      <c r="E7" s="289"/>
      <c r="F7" s="289"/>
      <c r="G7" s="289"/>
      <c r="H7" s="289"/>
      <c r="I7" s="289"/>
      <c r="J7" s="289"/>
      <c r="K7" s="289"/>
      <c r="L7" s="289"/>
      <c r="M7" s="289"/>
      <c r="N7" s="289"/>
      <c r="O7" s="289"/>
      <c r="P7" s="289"/>
      <c r="Q7" s="289"/>
    </row>
    <row r="8" spans="3:17" x14ac:dyDescent="0.25">
      <c r="D8" s="289"/>
      <c r="E8" s="289"/>
      <c r="F8" s="289"/>
      <c r="G8" s="289"/>
      <c r="H8" s="289"/>
      <c r="I8" s="289"/>
      <c r="J8" s="289"/>
      <c r="K8" s="289"/>
      <c r="L8" s="289"/>
      <c r="M8" s="289"/>
      <c r="N8" s="289"/>
      <c r="O8" s="289"/>
      <c r="P8" s="289"/>
      <c r="Q8" s="289"/>
    </row>
    <row r="9" spans="3:17" x14ac:dyDescent="0.25">
      <c r="D9" s="289"/>
      <c r="E9" s="289"/>
      <c r="F9" s="289"/>
      <c r="G9" s="289"/>
      <c r="H9" s="289"/>
      <c r="I9" s="289"/>
      <c r="J9" s="289"/>
      <c r="K9" s="289"/>
      <c r="L9" s="289"/>
      <c r="M9" s="289"/>
      <c r="N9" s="289"/>
      <c r="O9" s="289"/>
      <c r="P9" s="289"/>
      <c r="Q9" s="289"/>
    </row>
    <row r="10" spans="3:17" x14ac:dyDescent="0.25">
      <c r="D10" s="289"/>
      <c r="E10" s="289"/>
      <c r="F10" s="289"/>
      <c r="G10" s="289"/>
      <c r="H10" s="289"/>
      <c r="I10" s="289"/>
      <c r="J10" s="289"/>
      <c r="K10" s="289"/>
      <c r="L10" s="289"/>
      <c r="M10" s="289"/>
      <c r="N10" s="289"/>
      <c r="O10" s="289"/>
      <c r="P10" s="289"/>
      <c r="Q10" s="289"/>
    </row>
    <row r="11" spans="3:17" x14ac:dyDescent="0.25">
      <c r="D11" s="289"/>
      <c r="E11" s="289"/>
      <c r="F11" s="289"/>
      <c r="G11" s="289"/>
      <c r="H11" s="289"/>
      <c r="I11" s="289"/>
      <c r="J11" s="289"/>
      <c r="K11" s="289"/>
      <c r="L11" s="289"/>
      <c r="M11" s="289"/>
      <c r="N11" s="289"/>
      <c r="O11" s="289"/>
      <c r="P11" s="289"/>
      <c r="Q11" s="289"/>
    </row>
    <row r="12" spans="3:17" x14ac:dyDescent="0.25">
      <c r="D12" s="289"/>
      <c r="E12" s="289"/>
      <c r="F12" s="289"/>
      <c r="G12" s="289"/>
      <c r="H12" s="289"/>
      <c r="I12" s="289"/>
      <c r="J12" s="289"/>
      <c r="K12" s="289"/>
      <c r="L12" s="289"/>
      <c r="M12" s="289"/>
      <c r="N12" s="289"/>
      <c r="O12" s="289"/>
      <c r="P12" s="289"/>
      <c r="Q12" s="289"/>
    </row>
    <row r="13" spans="3:17" x14ac:dyDescent="0.25">
      <c r="D13" s="289"/>
      <c r="E13" s="289"/>
      <c r="F13" s="289"/>
      <c r="G13" s="289"/>
      <c r="H13" s="289"/>
      <c r="I13" s="289"/>
      <c r="J13" s="289"/>
      <c r="K13" s="289"/>
      <c r="L13" s="289"/>
      <c r="M13" s="289"/>
      <c r="N13" s="289"/>
      <c r="O13" s="289"/>
      <c r="P13" s="289"/>
      <c r="Q13" s="289"/>
    </row>
    <row r="14" spans="3:17" x14ac:dyDescent="0.25">
      <c r="D14" s="289"/>
      <c r="E14" s="289"/>
      <c r="F14" s="289"/>
      <c r="G14" s="289"/>
      <c r="H14" s="289"/>
      <c r="I14" s="289"/>
      <c r="J14" s="289"/>
      <c r="K14" s="289"/>
      <c r="L14" s="289"/>
      <c r="M14" s="289"/>
      <c r="N14" s="289"/>
      <c r="O14" s="289"/>
      <c r="P14" s="289"/>
      <c r="Q14" s="289"/>
    </row>
    <row r="15" spans="3:17" x14ac:dyDescent="0.25">
      <c r="D15" s="289"/>
      <c r="E15" s="289"/>
      <c r="F15" s="289"/>
      <c r="G15" s="289"/>
      <c r="H15" s="289"/>
      <c r="I15" s="289"/>
      <c r="J15" s="289"/>
      <c r="K15" s="289"/>
      <c r="L15" s="289"/>
      <c r="M15" s="289"/>
      <c r="N15" s="289"/>
      <c r="O15" s="289"/>
      <c r="P15" s="289"/>
      <c r="Q15" s="289"/>
    </row>
    <row r="16" spans="3:17" x14ac:dyDescent="0.25">
      <c r="D16" s="289"/>
      <c r="E16" s="289"/>
      <c r="F16" s="289"/>
      <c r="G16" s="289"/>
      <c r="H16" s="289"/>
      <c r="I16" s="289"/>
      <c r="J16" s="289"/>
      <c r="K16" s="289"/>
      <c r="L16" s="289"/>
      <c r="M16" s="289"/>
      <c r="N16" s="289"/>
      <c r="O16" s="289"/>
      <c r="P16" s="289"/>
      <c r="Q16" s="289"/>
    </row>
    <row r="17" spans="1:17" ht="15" customHeight="1" x14ac:dyDescent="0.25">
      <c r="D17" s="289" t="s">
        <v>206</v>
      </c>
      <c r="E17" s="289"/>
      <c r="F17" s="289"/>
      <c r="G17" s="289"/>
      <c r="H17" s="289"/>
      <c r="I17" s="289"/>
      <c r="J17" s="289"/>
      <c r="K17" s="289"/>
      <c r="L17" s="289"/>
      <c r="M17" s="289"/>
      <c r="N17" s="289"/>
      <c r="O17" s="289"/>
      <c r="P17" s="289"/>
      <c r="Q17" s="289"/>
    </row>
    <row r="18" spans="1:17" x14ac:dyDescent="0.25">
      <c r="D18" s="289"/>
      <c r="E18" s="289"/>
      <c r="F18" s="289"/>
      <c r="G18" s="289"/>
      <c r="H18" s="289"/>
      <c r="I18" s="289"/>
      <c r="J18" s="289"/>
      <c r="K18" s="289"/>
      <c r="L18" s="289"/>
      <c r="M18" s="289"/>
      <c r="N18" s="289"/>
      <c r="O18" s="289"/>
      <c r="P18" s="289"/>
      <c r="Q18" s="289"/>
    </row>
    <row r="19" spans="1:17" x14ac:dyDescent="0.25">
      <c r="D19" s="289"/>
      <c r="E19" s="289"/>
      <c r="F19" s="289"/>
      <c r="G19" s="289"/>
      <c r="H19" s="289"/>
      <c r="I19" s="289"/>
      <c r="J19" s="289"/>
      <c r="K19" s="289"/>
      <c r="L19" s="289"/>
      <c r="M19" s="289"/>
      <c r="N19" s="289"/>
      <c r="O19" s="289"/>
      <c r="P19" s="289"/>
      <c r="Q19" s="289"/>
    </row>
    <row r="20" spans="1:17" x14ac:dyDescent="0.25">
      <c r="D20" s="289"/>
      <c r="E20" s="289"/>
      <c r="F20" s="289"/>
      <c r="G20" s="289"/>
      <c r="H20" s="289"/>
      <c r="I20" s="289"/>
      <c r="J20" s="289"/>
      <c r="K20" s="289"/>
      <c r="L20" s="289"/>
      <c r="M20" s="289"/>
      <c r="N20" s="289"/>
      <c r="O20" s="289"/>
      <c r="P20" s="289"/>
      <c r="Q20" s="289"/>
    </row>
    <row r="21" spans="1:17" x14ac:dyDescent="0.25">
      <c r="D21" s="289"/>
      <c r="E21" s="289"/>
      <c r="F21" s="289"/>
      <c r="G21" s="289"/>
      <c r="H21" s="289"/>
      <c r="I21" s="289"/>
      <c r="J21" s="289"/>
      <c r="K21" s="289"/>
      <c r="L21" s="289"/>
      <c r="M21" s="289"/>
      <c r="N21" s="289"/>
      <c r="O21" s="289"/>
      <c r="P21" s="289"/>
      <c r="Q21" s="289"/>
    </row>
    <row r="22" spans="1:17" ht="15.75" thickBot="1" x14ac:dyDescent="0.3"/>
    <row r="23" spans="1:17" x14ac:dyDescent="0.25">
      <c r="A23" s="312" t="s">
        <v>244</v>
      </c>
      <c r="B23" s="312"/>
      <c r="D23" s="52"/>
      <c r="E23" s="52" t="s">
        <v>34</v>
      </c>
      <c r="F23" s="52" t="s">
        <v>55</v>
      </c>
      <c r="G23" s="52" t="s">
        <v>36</v>
      </c>
      <c r="H23" s="52" t="s">
        <v>40</v>
      </c>
      <c r="I23" s="56" t="s">
        <v>35</v>
      </c>
      <c r="J23" s="123" t="s">
        <v>89</v>
      </c>
      <c r="K23" s="124" t="s">
        <v>27</v>
      </c>
      <c r="L23" s="125" t="s">
        <v>43</v>
      </c>
      <c r="N23" s="345" t="s">
        <v>80</v>
      </c>
      <c r="O23" s="345"/>
      <c r="Q23">
        <v>500000</v>
      </c>
    </row>
    <row r="24" spans="1:17" x14ac:dyDescent="0.25">
      <c r="A24" s="296" t="s">
        <v>248</v>
      </c>
      <c r="B24" s="296"/>
      <c r="D24" s="213" t="s">
        <v>77</v>
      </c>
      <c r="E24" s="207"/>
      <c r="F24" s="98">
        <v>320000</v>
      </c>
      <c r="G24" s="98"/>
      <c r="H24" s="103"/>
      <c r="I24" s="204">
        <v>50</v>
      </c>
      <c r="J24" s="214"/>
      <c r="K24" s="216">
        <f>(F24-G24)/I24</f>
        <v>6400</v>
      </c>
      <c r="L24" s="215">
        <f>F24*O43</f>
        <v>28800</v>
      </c>
      <c r="N24" s="71" t="s">
        <v>210</v>
      </c>
      <c r="O24" s="71" t="s">
        <v>211</v>
      </c>
      <c r="Q24">
        <v>23000</v>
      </c>
    </row>
    <row r="25" spans="1:17" x14ac:dyDescent="0.25">
      <c r="A25" s="296" t="s">
        <v>248</v>
      </c>
      <c r="B25" s="296"/>
      <c r="D25" s="213" t="s">
        <v>193</v>
      </c>
      <c r="E25" s="98">
        <v>22000</v>
      </c>
      <c r="F25" s="203">
        <f>((E25-G25)*(I25/H25))+G25</f>
        <v>22000</v>
      </c>
      <c r="G25" s="98">
        <f>0.2*E25</f>
        <v>4400</v>
      </c>
      <c r="H25" s="202">
        <f>$Q$26</f>
        <v>1.8115942028985508</v>
      </c>
      <c r="I25" s="202">
        <f>$Q$26</f>
        <v>1.8115942028985508</v>
      </c>
      <c r="J25" s="214"/>
      <c r="K25" s="216">
        <f>(F25-G25)/I25</f>
        <v>9715.1999999999989</v>
      </c>
      <c r="L25" s="215">
        <f>F25*$O$43</f>
        <v>1980</v>
      </c>
      <c r="N25" s="71">
        <v>1</v>
      </c>
      <c r="O25" s="71">
        <v>200</v>
      </c>
      <c r="Q25">
        <f>Q24*12</f>
        <v>276000</v>
      </c>
    </row>
    <row r="26" spans="1:17" x14ac:dyDescent="0.25">
      <c r="A26" s="296" t="s">
        <v>248</v>
      </c>
      <c r="B26" s="296"/>
      <c r="D26" s="213" t="s">
        <v>194</v>
      </c>
      <c r="E26" s="98">
        <v>15000</v>
      </c>
      <c r="F26" s="203">
        <f>((E26-G26)*(I26/H26))+G26</f>
        <v>15000</v>
      </c>
      <c r="G26" s="98">
        <f>0.05*E26</f>
        <v>750</v>
      </c>
      <c r="H26" s="202">
        <v>10</v>
      </c>
      <c r="I26" s="202">
        <v>10</v>
      </c>
      <c r="J26" s="214"/>
      <c r="K26" s="216">
        <f t="shared" ref="K26:K27" si="0">(F26-G26)/I26</f>
        <v>1425</v>
      </c>
      <c r="L26" s="215">
        <f t="shared" ref="L26:L27" si="1">F26*$O$43</f>
        <v>1350</v>
      </c>
      <c r="N26" s="71">
        <v>1</v>
      </c>
      <c r="O26" s="79">
        <v>700</v>
      </c>
      <c r="Q26">
        <f>Q23/Q25</f>
        <v>1.8115942028985508</v>
      </c>
    </row>
    <row r="27" spans="1:17" x14ac:dyDescent="0.25">
      <c r="A27" s="296" t="s">
        <v>248</v>
      </c>
      <c r="B27" s="296"/>
      <c r="D27" s="213" t="s">
        <v>194</v>
      </c>
      <c r="E27" s="98">
        <v>15000</v>
      </c>
      <c r="F27" s="203">
        <f>((E27-G27)*(I27/H27))+G27</f>
        <v>15000</v>
      </c>
      <c r="G27" s="98">
        <f>0.05*E27</f>
        <v>750</v>
      </c>
      <c r="H27" s="202">
        <v>10</v>
      </c>
      <c r="I27" s="202">
        <v>10</v>
      </c>
      <c r="J27" s="214"/>
      <c r="K27" s="216">
        <f t="shared" si="0"/>
        <v>1425</v>
      </c>
      <c r="L27" s="215">
        <f t="shared" si="1"/>
        <v>1350</v>
      </c>
    </row>
    <row r="28" spans="1:17" x14ac:dyDescent="0.25">
      <c r="A28" s="296" t="s">
        <v>248</v>
      </c>
      <c r="B28" s="296"/>
      <c r="D28" s="213" t="s">
        <v>195</v>
      </c>
      <c r="E28" s="98">
        <v>72000</v>
      </c>
      <c r="F28" s="203">
        <f>((E28-G28)*(I28/H28))+G28</f>
        <v>36000</v>
      </c>
      <c r="G28" s="98">
        <f>0.2*E28</f>
        <v>14400</v>
      </c>
      <c r="H28" s="103">
        <v>8</v>
      </c>
      <c r="I28" s="204">
        <f>3</f>
        <v>3</v>
      </c>
      <c r="J28" s="214"/>
      <c r="K28" s="216">
        <f>(F28-G28)/I28</f>
        <v>7200</v>
      </c>
      <c r="L28" s="215">
        <f>F28*$O$43</f>
        <v>3240</v>
      </c>
      <c r="N28" s="321" t="s">
        <v>212</v>
      </c>
      <c r="O28" s="336"/>
    </row>
    <row r="29" spans="1:17" x14ac:dyDescent="0.25">
      <c r="B29" s="264"/>
      <c r="C29" s="265"/>
      <c r="D29" s="212"/>
      <c r="E29" s="182"/>
      <c r="F29" s="182"/>
      <c r="G29" s="182"/>
      <c r="H29" s="209"/>
      <c r="I29" s="231"/>
      <c r="J29" s="262"/>
      <c r="K29" s="185"/>
      <c r="L29" s="263"/>
      <c r="N29" s="71" t="s">
        <v>211</v>
      </c>
      <c r="O29" s="71" t="s">
        <v>213</v>
      </c>
      <c r="P29" t="s">
        <v>215</v>
      </c>
    </row>
    <row r="30" spans="1:17" x14ac:dyDescent="0.25">
      <c r="B30" s="264"/>
      <c r="C30" s="265"/>
      <c r="D30" s="212"/>
      <c r="E30" s="182"/>
      <c r="F30" s="182" t="s">
        <v>178</v>
      </c>
      <c r="G30" s="182" t="s">
        <v>177</v>
      </c>
      <c r="H30" s="209"/>
      <c r="I30" s="231"/>
      <c r="J30" s="262"/>
      <c r="K30" s="185"/>
      <c r="L30" s="263"/>
      <c r="N30" s="71">
        <v>1000</v>
      </c>
      <c r="O30" s="79">
        <v>500</v>
      </c>
      <c r="P30" s="77">
        <f>O30/N30</f>
        <v>0.5</v>
      </c>
    </row>
    <row r="31" spans="1:17" x14ac:dyDescent="0.25">
      <c r="A31" s="296" t="s">
        <v>247</v>
      </c>
      <c r="B31" s="296"/>
      <c r="C31" s="265"/>
      <c r="D31" s="217" t="s">
        <v>172</v>
      </c>
      <c r="E31" s="216">
        <f>O37</f>
        <v>4</v>
      </c>
      <c r="F31" s="207">
        <f>O39*E31</f>
        <v>92000</v>
      </c>
      <c r="G31" s="207">
        <f t="shared" ref="G31:G36" si="2">F31*12</f>
        <v>1104000</v>
      </c>
      <c r="H31" s="205"/>
      <c r="I31" s="218"/>
      <c r="J31" s="214">
        <f>G31</f>
        <v>1104000</v>
      </c>
      <c r="K31" s="216"/>
      <c r="L31" s="215">
        <f>J31*$O$44*(3/12)</f>
        <v>38640.000000000007</v>
      </c>
    </row>
    <row r="32" spans="1:17" x14ac:dyDescent="0.25">
      <c r="A32" s="296" t="s">
        <v>247</v>
      </c>
      <c r="B32" s="296"/>
      <c r="C32" s="265"/>
      <c r="D32" s="213" t="s">
        <v>208</v>
      </c>
      <c r="E32" s="207">
        <v>5000</v>
      </c>
      <c r="F32" s="207">
        <f>E32/4</f>
        <v>1250</v>
      </c>
      <c r="G32" s="207">
        <f t="shared" si="2"/>
        <v>15000</v>
      </c>
      <c r="H32" s="202"/>
      <c r="I32" s="206"/>
      <c r="J32" s="214">
        <f t="shared" ref="J32:J36" si="3">G32</f>
        <v>15000</v>
      </c>
      <c r="K32" s="216"/>
      <c r="L32" s="215">
        <f>J32*$O$44*(3/12)</f>
        <v>525</v>
      </c>
      <c r="N32" s="71" t="s">
        <v>210</v>
      </c>
      <c r="O32" s="71" t="s">
        <v>211</v>
      </c>
    </row>
    <row r="33" spans="1:15" x14ac:dyDescent="0.25">
      <c r="A33" s="296" t="s">
        <v>247</v>
      </c>
      <c r="B33" s="296"/>
      <c r="C33" s="341" t="s">
        <v>209</v>
      </c>
      <c r="D33" s="342"/>
      <c r="E33" s="98">
        <v>500</v>
      </c>
      <c r="F33" s="207">
        <f>E33/2</f>
        <v>250</v>
      </c>
      <c r="G33" s="207">
        <f t="shared" si="2"/>
        <v>3000</v>
      </c>
      <c r="H33" s="202"/>
      <c r="I33" s="206"/>
      <c r="J33" s="214">
        <f t="shared" si="3"/>
        <v>3000</v>
      </c>
      <c r="K33" s="216"/>
      <c r="L33" s="215">
        <f t="shared" ref="L33:L36" si="4">J33*$O$44*(3/12)</f>
        <v>105.00000000000001</v>
      </c>
      <c r="N33" s="71">
        <v>1</v>
      </c>
      <c r="O33" s="71">
        <v>200</v>
      </c>
    </row>
    <row r="34" spans="1:15" x14ac:dyDescent="0.25">
      <c r="A34" s="296" t="s">
        <v>247</v>
      </c>
      <c r="B34" s="296"/>
      <c r="C34" s="341" t="s">
        <v>209</v>
      </c>
      <c r="D34" s="342"/>
      <c r="E34" s="98">
        <v>500</v>
      </c>
      <c r="F34" s="207">
        <f>E34/2</f>
        <v>250</v>
      </c>
      <c r="G34" s="207">
        <f t="shared" si="2"/>
        <v>3000</v>
      </c>
      <c r="H34" s="202"/>
      <c r="I34" s="206"/>
      <c r="J34" s="214">
        <f t="shared" si="3"/>
        <v>3000</v>
      </c>
      <c r="K34" s="216"/>
      <c r="L34" s="215">
        <f t="shared" si="4"/>
        <v>105.00000000000001</v>
      </c>
      <c r="N34" s="71">
        <f>O34*N33/O33</f>
        <v>5.0000000000000001E-3</v>
      </c>
      <c r="O34" s="71">
        <v>1</v>
      </c>
    </row>
    <row r="35" spans="1:15" x14ac:dyDescent="0.25">
      <c r="A35" s="296" t="s">
        <v>247</v>
      </c>
      <c r="B35" s="296"/>
      <c r="C35" s="265"/>
      <c r="D35" s="219" t="s">
        <v>197</v>
      </c>
      <c r="E35" s="220">
        <v>600</v>
      </c>
      <c r="F35" s="221">
        <f>E35/2</f>
        <v>300</v>
      </c>
      <c r="G35" s="221">
        <f t="shared" si="2"/>
        <v>3600</v>
      </c>
      <c r="H35" s="222"/>
      <c r="I35" s="223"/>
      <c r="J35" s="214">
        <f t="shared" si="3"/>
        <v>3600</v>
      </c>
      <c r="K35" s="216"/>
      <c r="L35" s="215">
        <f t="shared" si="4"/>
        <v>126.00000000000001</v>
      </c>
      <c r="N35" s="71">
        <v>1</v>
      </c>
      <c r="O35" s="79">
        <v>700</v>
      </c>
    </row>
    <row r="36" spans="1:15" x14ac:dyDescent="0.25">
      <c r="A36" s="296" t="s">
        <v>247</v>
      </c>
      <c r="B36" s="296"/>
      <c r="C36" s="265"/>
      <c r="D36" s="213" t="s">
        <v>105</v>
      </c>
      <c r="E36" s="207"/>
      <c r="F36" s="98">
        <v>120</v>
      </c>
      <c r="G36" s="207">
        <f t="shared" si="2"/>
        <v>1440</v>
      </c>
      <c r="H36" s="202"/>
      <c r="I36" s="206"/>
      <c r="J36" s="214">
        <f t="shared" si="3"/>
        <v>1440</v>
      </c>
      <c r="K36" s="216"/>
      <c r="L36" s="215">
        <f t="shared" si="4"/>
        <v>50.400000000000006</v>
      </c>
      <c r="N36" s="71">
        <f>O39/O33</f>
        <v>115</v>
      </c>
      <c r="O36" s="77">
        <f>N36*O35/N35</f>
        <v>80500</v>
      </c>
    </row>
    <row r="37" spans="1:15" ht="15" customHeight="1" x14ac:dyDescent="0.25">
      <c r="C37" s="192"/>
      <c r="E37" s="242" t="s">
        <v>178</v>
      </c>
      <c r="F37" s="242" t="s">
        <v>230</v>
      </c>
      <c r="G37" s="242" t="s">
        <v>232</v>
      </c>
      <c r="H37" s="243" t="s">
        <v>257</v>
      </c>
      <c r="I37" s="244"/>
      <c r="N37" s="103" t="s">
        <v>214</v>
      </c>
      <c r="O37" s="99">
        <f>(O36/O39)+P30</f>
        <v>4</v>
      </c>
    </row>
    <row r="38" spans="1:15" x14ac:dyDescent="0.25">
      <c r="A38" s="296" t="s">
        <v>247</v>
      </c>
      <c r="B38" s="296"/>
      <c r="C38" s="267" t="s">
        <v>256</v>
      </c>
      <c r="D38" s="70" t="s">
        <v>225</v>
      </c>
      <c r="E38" s="79">
        <f>1500*3*4</f>
        <v>18000</v>
      </c>
      <c r="F38" s="343">
        <f>0.2*3000</f>
        <v>600</v>
      </c>
      <c r="G38" s="79">
        <f>(E38+E39+F38)*0.6</f>
        <v>16560</v>
      </c>
      <c r="H38" s="79">
        <f>(G38+F38+E38+E39)*13</f>
        <v>574080</v>
      </c>
      <c r="I38" s="121"/>
      <c r="J38" s="165">
        <f>H38</f>
        <v>574080</v>
      </c>
      <c r="K38" s="77"/>
      <c r="L38" s="166">
        <f>J38*$O$44*(3/12)</f>
        <v>20092.800000000003</v>
      </c>
    </row>
    <row r="39" spans="1:15" x14ac:dyDescent="0.25">
      <c r="A39" s="296" t="s">
        <v>247</v>
      </c>
      <c r="B39" s="296"/>
      <c r="C39" s="192"/>
      <c r="D39" s="208" t="s">
        <v>224</v>
      </c>
      <c r="E39" s="79">
        <f>3000*3</f>
        <v>9000</v>
      </c>
      <c r="F39" s="344"/>
      <c r="G39" s="79"/>
      <c r="H39" s="210"/>
      <c r="I39" s="211"/>
      <c r="J39" s="165"/>
      <c r="K39" s="77"/>
      <c r="L39" s="166"/>
      <c r="N39" s="317" t="s">
        <v>196</v>
      </c>
      <c r="O39" s="284">
        <v>23000</v>
      </c>
    </row>
    <row r="40" spans="1:15" x14ac:dyDescent="0.25">
      <c r="D40" s="193"/>
      <c r="E40" s="210"/>
      <c r="F40" s="210"/>
      <c r="G40" s="79"/>
      <c r="H40" s="210"/>
      <c r="I40" s="210"/>
      <c r="J40" s="165"/>
      <c r="K40" s="210"/>
      <c r="L40" s="166"/>
      <c r="N40" s="317"/>
      <c r="O40" s="284"/>
    </row>
    <row r="41" spans="1:15" ht="15.75" thickBot="1" x14ac:dyDescent="0.3">
      <c r="D41" s="208"/>
      <c r="E41" s="77"/>
      <c r="F41" s="77"/>
      <c r="G41" s="79"/>
      <c r="H41" s="210"/>
      <c r="I41" s="211"/>
      <c r="J41" s="188"/>
      <c r="K41" s="167"/>
      <c r="L41" s="166"/>
    </row>
    <row r="42" spans="1:15" ht="15.75" thickBot="1" x14ac:dyDescent="0.3">
      <c r="A42" s="334" t="s">
        <v>249</v>
      </c>
      <c r="B42" s="335"/>
      <c r="G42" s="224"/>
      <c r="J42" s="189">
        <f>SUM(J24:J41)</f>
        <v>1704120</v>
      </c>
      <c r="K42" s="190">
        <f>SUM(K24:K41)</f>
        <v>26165.199999999997</v>
      </c>
      <c r="L42" s="191">
        <f>SUM(L24:L41)</f>
        <v>96364.2</v>
      </c>
      <c r="M42" s="326" t="s">
        <v>167</v>
      </c>
      <c r="N42" s="326"/>
      <c r="O42" s="127">
        <v>0.06</v>
      </c>
    </row>
    <row r="43" spans="1:15" x14ac:dyDescent="0.25">
      <c r="A43" s="338" t="str">
        <f>D24</f>
        <v>Galpon</v>
      </c>
      <c r="B43" s="260" t="s">
        <v>250</v>
      </c>
      <c r="D43" s="321" t="s">
        <v>216</v>
      </c>
      <c r="E43" s="336"/>
      <c r="F43" s="145">
        <v>0.2</v>
      </c>
      <c r="G43" s="224"/>
      <c r="M43" s="326" t="s">
        <v>168</v>
      </c>
      <c r="N43" s="326"/>
      <c r="O43" s="127">
        <v>0.09</v>
      </c>
    </row>
    <row r="44" spans="1:15" x14ac:dyDescent="0.25">
      <c r="A44" s="339"/>
      <c r="B44" s="199" t="s">
        <v>246</v>
      </c>
      <c r="D44" s="321" t="s">
        <v>181</v>
      </c>
      <c r="E44" s="336"/>
      <c r="F44" s="146">
        <v>0.25</v>
      </c>
      <c r="G44" s="224"/>
      <c r="K44" s="77">
        <f>SUM(J42:L42)</f>
        <v>1826649.4</v>
      </c>
      <c r="L44" t="s">
        <v>177</v>
      </c>
      <c r="M44" s="326" t="s">
        <v>169</v>
      </c>
      <c r="N44" s="326"/>
      <c r="O44" s="127">
        <v>0.14000000000000001</v>
      </c>
    </row>
    <row r="45" spans="1:15" ht="15.75" thickBot="1" x14ac:dyDescent="0.3">
      <c r="A45" s="340"/>
      <c r="B45" s="261" t="s">
        <v>253</v>
      </c>
      <c r="D45" s="321" t="s">
        <v>182</v>
      </c>
      <c r="E45" s="336"/>
      <c r="F45" s="194">
        <v>0.32</v>
      </c>
      <c r="K45" s="77">
        <f>K44/12</f>
        <v>152220.78333333333</v>
      </c>
      <c r="L45" t="s">
        <v>178</v>
      </c>
    </row>
    <row r="46" spans="1:15" x14ac:dyDescent="0.25">
      <c r="A46" s="338" t="str">
        <f>D25</f>
        <v>Maquina A</v>
      </c>
      <c r="B46" s="260" t="s">
        <v>250</v>
      </c>
      <c r="H46" s="323" t="s">
        <v>179</v>
      </c>
      <c r="I46" s="332"/>
      <c r="J46" s="333"/>
      <c r="K46" s="77">
        <f>K45/O39</f>
        <v>6.6182949275362315</v>
      </c>
    </row>
    <row r="47" spans="1:15" ht="15" customHeight="1" x14ac:dyDescent="0.25">
      <c r="A47" s="339"/>
      <c r="B47" s="199" t="s">
        <v>246</v>
      </c>
    </row>
    <row r="48" spans="1:15" ht="15" customHeight="1" thickBot="1" x14ac:dyDescent="0.3">
      <c r="A48" s="340"/>
      <c r="B48" s="261" t="s">
        <v>253</v>
      </c>
      <c r="D48" s="346" t="s">
        <v>154</v>
      </c>
      <c r="E48" s="347"/>
      <c r="F48" s="148">
        <f>(1+F43)*(1+F44)*(1+F45)</f>
        <v>1.98</v>
      </c>
      <c r="H48" s="323" t="s">
        <v>188</v>
      </c>
      <c r="I48" s="332"/>
      <c r="J48" s="333"/>
      <c r="K48" s="187">
        <f>K46*F48</f>
        <v>13.104223956521738</v>
      </c>
    </row>
    <row r="49" spans="1:12" x14ac:dyDescent="0.25">
      <c r="A49" s="338" t="str">
        <f>D26</f>
        <v>Maquina B</v>
      </c>
      <c r="B49" s="260" t="s">
        <v>250</v>
      </c>
    </row>
    <row r="50" spans="1:12" x14ac:dyDescent="0.25">
      <c r="A50" s="339"/>
      <c r="B50" s="199" t="s">
        <v>246</v>
      </c>
      <c r="H50" s="329" t="s">
        <v>236</v>
      </c>
      <c r="I50" s="329"/>
      <c r="J50" s="329"/>
      <c r="K50" s="266">
        <f>K44+L50</f>
        <v>2191979.2799999998</v>
      </c>
      <c r="L50" s="250">
        <f>K44*F43</f>
        <v>365329.88</v>
      </c>
    </row>
    <row r="51" spans="1:12" ht="15.75" thickBot="1" x14ac:dyDescent="0.3">
      <c r="A51" s="340"/>
      <c r="B51" s="261" t="s">
        <v>253</v>
      </c>
      <c r="H51" s="309" t="s">
        <v>237</v>
      </c>
      <c r="I51" s="309"/>
      <c r="J51" s="309"/>
      <c r="K51" s="252">
        <f>K50+L51</f>
        <v>2739974.0999999996</v>
      </c>
      <c r="L51" s="250">
        <f>K50*F44</f>
        <v>547994.81999999995</v>
      </c>
    </row>
    <row r="52" spans="1:12" x14ac:dyDescent="0.25">
      <c r="A52" s="338" t="str">
        <f>D28</f>
        <v>Camion</v>
      </c>
      <c r="B52" s="260" t="s">
        <v>250</v>
      </c>
      <c r="H52" s="309" t="s">
        <v>238</v>
      </c>
      <c r="I52" s="309"/>
      <c r="J52" s="309"/>
      <c r="K52" s="252">
        <f>K51+L52</f>
        <v>3616765.8119999995</v>
      </c>
      <c r="L52" s="196">
        <f>K51*F45</f>
        <v>876791.71199999994</v>
      </c>
    </row>
    <row r="53" spans="1:12" x14ac:dyDescent="0.25">
      <c r="A53" s="339"/>
      <c r="B53" s="199" t="s">
        <v>246</v>
      </c>
    </row>
    <row r="54" spans="1:12" ht="15.75" thickBot="1" x14ac:dyDescent="0.3">
      <c r="A54" s="340"/>
      <c r="B54" s="261" t="s">
        <v>253</v>
      </c>
    </row>
    <row r="55" spans="1:12" x14ac:dyDescent="0.25">
      <c r="A55" s="338" t="str">
        <f>D31</f>
        <v>MATERIA PRIMA</v>
      </c>
      <c r="B55" s="260" t="s">
        <v>251</v>
      </c>
    </row>
    <row r="56" spans="1:12" x14ac:dyDescent="0.25">
      <c r="A56" s="339"/>
      <c r="B56" s="199" t="s">
        <v>252</v>
      </c>
    </row>
    <row r="57" spans="1:12" ht="15.75" thickBot="1" x14ac:dyDescent="0.3">
      <c r="A57" s="340"/>
      <c r="B57" s="261" t="s">
        <v>253</v>
      </c>
    </row>
    <row r="58" spans="1:12" ht="15" customHeight="1" x14ac:dyDescent="0.25">
      <c r="A58" s="338" t="str">
        <f>D32</f>
        <v>Propiedad lindera</v>
      </c>
      <c r="B58" s="260" t="s">
        <v>251</v>
      </c>
    </row>
    <row r="59" spans="1:12" x14ac:dyDescent="0.25">
      <c r="A59" s="339"/>
      <c r="B59" s="199" t="s">
        <v>246</v>
      </c>
    </row>
    <row r="60" spans="1:12" ht="15.75" thickBot="1" x14ac:dyDescent="0.3">
      <c r="A60" s="340"/>
      <c r="B60" s="261" t="s">
        <v>253</v>
      </c>
    </row>
    <row r="61" spans="1:12" ht="15" customHeight="1" x14ac:dyDescent="0.25">
      <c r="A61" s="338" t="str">
        <f>C33</f>
        <v>Mantenimiento Maquina B</v>
      </c>
      <c r="B61" s="260" t="s">
        <v>251</v>
      </c>
    </row>
    <row r="62" spans="1:12" x14ac:dyDescent="0.25">
      <c r="A62" s="339"/>
      <c r="B62" s="199" t="s">
        <v>246</v>
      </c>
    </row>
    <row r="63" spans="1:12" ht="15.75" thickBot="1" x14ac:dyDescent="0.3">
      <c r="A63" s="340"/>
      <c r="B63" s="261" t="s">
        <v>253</v>
      </c>
    </row>
    <row r="64" spans="1:12" ht="15" customHeight="1" x14ac:dyDescent="0.25">
      <c r="A64" s="338" t="str">
        <f>D35</f>
        <v>Servicios</v>
      </c>
      <c r="B64" s="260" t="s">
        <v>251</v>
      </c>
    </row>
    <row r="65" spans="1:2" x14ac:dyDescent="0.25">
      <c r="A65" s="339"/>
      <c r="B65" s="199" t="s">
        <v>246</v>
      </c>
    </row>
    <row r="66" spans="1:2" ht="15.75" thickBot="1" x14ac:dyDescent="0.3">
      <c r="A66" s="340"/>
      <c r="B66" s="261" t="s">
        <v>253</v>
      </c>
    </row>
    <row r="67" spans="1:2" ht="15" customHeight="1" x14ac:dyDescent="0.25">
      <c r="A67" s="338" t="str">
        <f>D36</f>
        <v>Impuestos</v>
      </c>
      <c r="B67" s="260" t="s">
        <v>251</v>
      </c>
    </row>
    <row r="68" spans="1:2" x14ac:dyDescent="0.25">
      <c r="A68" s="339"/>
      <c r="B68" s="199" t="s">
        <v>246</v>
      </c>
    </row>
    <row r="69" spans="1:2" ht="15.75" thickBot="1" x14ac:dyDescent="0.3">
      <c r="A69" s="340"/>
      <c r="B69" s="261" t="s">
        <v>253</v>
      </c>
    </row>
    <row r="70" spans="1:2" x14ac:dyDescent="0.25">
      <c r="A70" s="338" t="str">
        <f>D38</f>
        <v>12 empleados</v>
      </c>
      <c r="B70" s="260" t="s">
        <v>251</v>
      </c>
    </row>
    <row r="71" spans="1:2" x14ac:dyDescent="0.25">
      <c r="A71" s="339"/>
      <c r="B71" s="199" t="s">
        <v>255</v>
      </c>
    </row>
    <row r="72" spans="1:2" ht="15.75" thickBot="1" x14ac:dyDescent="0.3">
      <c r="A72" s="340"/>
      <c r="B72" s="261" t="s">
        <v>253</v>
      </c>
    </row>
    <row r="73" spans="1:2" x14ac:dyDescent="0.25">
      <c r="A73" s="338" t="str">
        <f>D39</f>
        <v>3 encargados</v>
      </c>
      <c r="B73" s="260" t="s">
        <v>251</v>
      </c>
    </row>
    <row r="74" spans="1:2" x14ac:dyDescent="0.25">
      <c r="A74" s="339"/>
      <c r="B74" s="199" t="s">
        <v>255</v>
      </c>
    </row>
    <row r="75" spans="1:2" ht="15.75" thickBot="1" x14ac:dyDescent="0.3">
      <c r="A75" s="340"/>
      <c r="B75" s="261" t="s">
        <v>253</v>
      </c>
    </row>
  </sheetData>
  <mergeCells count="47">
    <mergeCell ref="A70:A72"/>
    <mergeCell ref="A73:A75"/>
    <mergeCell ref="A55:A57"/>
    <mergeCell ref="A58:A60"/>
    <mergeCell ref="A61:A63"/>
    <mergeCell ref="A64:A66"/>
    <mergeCell ref="A67:A69"/>
    <mergeCell ref="H50:J50"/>
    <mergeCell ref="H51:J51"/>
    <mergeCell ref="H52:J52"/>
    <mergeCell ref="A42:B42"/>
    <mergeCell ref="A43:A45"/>
    <mergeCell ref="A46:A48"/>
    <mergeCell ref="A49:A51"/>
    <mergeCell ref="A52:A54"/>
    <mergeCell ref="H48:J48"/>
    <mergeCell ref="H46:J46"/>
    <mergeCell ref="D48:E48"/>
    <mergeCell ref="D45:E45"/>
    <mergeCell ref="D1:Q16"/>
    <mergeCell ref="D17:Q21"/>
    <mergeCell ref="O39:O40"/>
    <mergeCell ref="A28:B28"/>
    <mergeCell ref="A31:B31"/>
    <mergeCell ref="A32:B32"/>
    <mergeCell ref="A33:B33"/>
    <mergeCell ref="A34:B34"/>
    <mergeCell ref="A23:B23"/>
    <mergeCell ref="A24:B24"/>
    <mergeCell ref="A25:B25"/>
    <mergeCell ref="A26:B26"/>
    <mergeCell ref="A27:B27"/>
    <mergeCell ref="C33:D33"/>
    <mergeCell ref="N23:O23"/>
    <mergeCell ref="N28:O28"/>
    <mergeCell ref="A35:B35"/>
    <mergeCell ref="A36:B36"/>
    <mergeCell ref="A38:B38"/>
    <mergeCell ref="A39:B39"/>
    <mergeCell ref="M42:N42"/>
    <mergeCell ref="C34:D34"/>
    <mergeCell ref="F38:F39"/>
    <mergeCell ref="M44:N44"/>
    <mergeCell ref="D43:E43"/>
    <mergeCell ref="D44:E44"/>
    <mergeCell ref="N39:N40"/>
    <mergeCell ref="M43:N4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1D791-92BB-42B5-8434-C4D7D9C8ACD0}">
  <dimension ref="A1:P48"/>
  <sheetViews>
    <sheetView topLeftCell="A7" workbookViewId="0">
      <selection activeCell="L19" sqref="L19"/>
    </sheetView>
  </sheetViews>
  <sheetFormatPr baseColWidth="10" defaultRowHeight="15" x14ac:dyDescent="0.25"/>
  <cols>
    <col min="1" max="1" width="14.5703125" customWidth="1"/>
    <col min="4" max="4" width="14" customWidth="1"/>
    <col min="5" max="6" width="13.140625" bestFit="1" customWidth="1"/>
    <col min="8" max="8" width="13.140625" bestFit="1" customWidth="1"/>
    <col min="12" max="12" width="13.140625" bestFit="1" customWidth="1"/>
  </cols>
  <sheetData>
    <row r="1" spans="1:16" ht="15" customHeight="1" x14ac:dyDescent="0.25">
      <c r="A1" s="1" t="s">
        <v>76</v>
      </c>
      <c r="B1" s="348" t="s">
        <v>266</v>
      </c>
      <c r="C1" s="348"/>
      <c r="D1" s="348"/>
      <c r="E1" s="348"/>
      <c r="F1" s="348"/>
      <c r="G1" s="348"/>
      <c r="H1" s="348"/>
      <c r="I1" s="348"/>
      <c r="J1" s="348"/>
      <c r="K1" s="348"/>
      <c r="L1" s="348"/>
      <c r="M1" s="348"/>
      <c r="N1" s="348"/>
      <c r="O1" s="348"/>
      <c r="P1" s="348"/>
    </row>
    <row r="2" spans="1:16" ht="27.75" customHeight="1" x14ac:dyDescent="0.25">
      <c r="B2" s="348" t="s">
        <v>258</v>
      </c>
      <c r="C2" s="348"/>
      <c r="D2" s="348"/>
      <c r="E2" s="348"/>
      <c r="F2" s="348"/>
      <c r="G2" s="348"/>
      <c r="H2" s="348"/>
      <c r="I2" s="348"/>
      <c r="J2" s="348"/>
      <c r="K2" s="348"/>
      <c r="L2" s="348"/>
      <c r="M2" s="348"/>
      <c r="N2" s="348"/>
      <c r="O2" s="348"/>
      <c r="P2" s="348"/>
    </row>
    <row r="3" spans="1:16" ht="27.75" customHeight="1" x14ac:dyDescent="0.25">
      <c r="B3" s="348" t="s">
        <v>259</v>
      </c>
      <c r="C3" s="348"/>
      <c r="D3" s="348"/>
      <c r="E3" s="348"/>
      <c r="F3" s="348"/>
      <c r="G3" s="348"/>
      <c r="H3" s="348"/>
      <c r="I3" s="348"/>
      <c r="J3" s="348"/>
      <c r="K3" s="348"/>
      <c r="L3" s="348"/>
      <c r="M3" s="348"/>
      <c r="N3" s="348"/>
      <c r="O3" s="348"/>
      <c r="P3" s="348"/>
    </row>
    <row r="4" spans="1:16" ht="27" customHeight="1" x14ac:dyDescent="0.25">
      <c r="B4" s="348" t="s">
        <v>260</v>
      </c>
      <c r="C4" s="348"/>
      <c r="D4" s="348"/>
      <c r="E4" s="348"/>
      <c r="F4" s="348"/>
      <c r="G4" s="348"/>
      <c r="H4" s="348"/>
      <c r="I4" s="348"/>
      <c r="J4" s="348"/>
      <c r="K4" s="348"/>
      <c r="L4" s="348"/>
      <c r="M4" s="348"/>
      <c r="N4" s="348"/>
      <c r="O4" s="348"/>
      <c r="P4" s="348"/>
    </row>
    <row r="5" spans="1:16" ht="15" customHeight="1" x14ac:dyDescent="0.25">
      <c r="B5" s="348" t="s">
        <v>261</v>
      </c>
      <c r="C5" s="348"/>
      <c r="D5" s="348"/>
      <c r="E5" s="348"/>
      <c r="F5" s="348"/>
      <c r="G5" s="348"/>
      <c r="H5" s="348"/>
      <c r="I5" s="348"/>
      <c r="J5" s="348"/>
      <c r="K5" s="348"/>
      <c r="L5" s="348"/>
      <c r="M5" s="348"/>
      <c r="N5" s="348"/>
      <c r="O5" s="348"/>
      <c r="P5" s="348"/>
    </row>
    <row r="6" spans="1:16" ht="15" customHeight="1" x14ac:dyDescent="0.25">
      <c r="B6" s="348" t="s">
        <v>262</v>
      </c>
      <c r="C6" s="348"/>
      <c r="D6" s="348"/>
      <c r="E6" s="348"/>
      <c r="F6" s="348"/>
      <c r="G6" s="348"/>
      <c r="H6" s="348"/>
      <c r="I6" s="348"/>
      <c r="J6" s="348"/>
      <c r="K6" s="348"/>
      <c r="L6" s="348"/>
      <c r="M6" s="348"/>
      <c r="N6" s="348"/>
      <c r="O6" s="348"/>
      <c r="P6" s="348"/>
    </row>
    <row r="7" spans="1:16" ht="15" customHeight="1" x14ac:dyDescent="0.25">
      <c r="B7" s="348" t="s">
        <v>263</v>
      </c>
      <c r="C7" s="348"/>
      <c r="D7" s="348"/>
      <c r="E7" s="348"/>
      <c r="F7" s="348"/>
      <c r="G7" s="348"/>
      <c r="H7" s="348"/>
      <c r="I7" s="348"/>
      <c r="J7" s="348"/>
      <c r="K7" s="348"/>
      <c r="L7" s="348"/>
      <c r="M7" s="348"/>
      <c r="N7" s="348"/>
      <c r="O7" s="348"/>
      <c r="P7" s="348"/>
    </row>
    <row r="8" spans="1:16" ht="15" customHeight="1" x14ac:dyDescent="0.25">
      <c r="B8" s="348" t="s">
        <v>264</v>
      </c>
      <c r="C8" s="348"/>
      <c r="D8" s="348"/>
      <c r="E8" s="348"/>
      <c r="F8" s="348"/>
      <c r="G8" s="348"/>
      <c r="H8" s="348"/>
      <c r="I8" s="348"/>
      <c r="J8" s="348"/>
      <c r="K8" s="348"/>
      <c r="L8" s="348"/>
      <c r="M8" s="348"/>
      <c r="N8" s="348"/>
      <c r="O8" s="348"/>
      <c r="P8" s="348"/>
    </row>
    <row r="9" spans="1:16" ht="15" customHeight="1" x14ac:dyDescent="0.25">
      <c r="B9" s="348" t="s">
        <v>265</v>
      </c>
      <c r="C9" s="348"/>
      <c r="D9" s="348"/>
      <c r="E9" s="348"/>
      <c r="F9" s="348"/>
      <c r="G9" s="348"/>
      <c r="H9" s="348"/>
      <c r="I9" s="348"/>
      <c r="J9" s="348"/>
      <c r="K9" s="348"/>
      <c r="L9" s="348"/>
      <c r="M9" s="348"/>
      <c r="N9" s="348"/>
      <c r="O9" s="348"/>
      <c r="P9" s="348"/>
    </row>
    <row r="11" spans="1:16" ht="15.75" thickBot="1" x14ac:dyDescent="0.3"/>
    <row r="12" spans="1:16" x14ac:dyDescent="0.25">
      <c r="A12" s="312" t="s">
        <v>244</v>
      </c>
      <c r="B12" s="312"/>
      <c r="C12" s="50"/>
      <c r="D12" s="119"/>
      <c r="E12" s="119" t="s">
        <v>34</v>
      </c>
      <c r="F12" s="119" t="s">
        <v>55</v>
      </c>
      <c r="G12" s="119" t="s">
        <v>36</v>
      </c>
      <c r="H12" s="119" t="s">
        <v>40</v>
      </c>
      <c r="I12" s="120" t="s">
        <v>35</v>
      </c>
      <c r="J12" s="58" t="s">
        <v>89</v>
      </c>
      <c r="K12" s="59" t="s">
        <v>27</v>
      </c>
      <c r="L12" s="60" t="s">
        <v>43</v>
      </c>
    </row>
    <row r="13" spans="1:16" x14ac:dyDescent="0.25">
      <c r="A13" s="296" t="s">
        <v>248</v>
      </c>
      <c r="B13" s="296"/>
      <c r="C13" s="50"/>
      <c r="D13" s="210" t="s">
        <v>269</v>
      </c>
      <c r="E13" s="269">
        <v>1500000</v>
      </c>
      <c r="F13" s="77">
        <f>((E13-G13)*(I13/H13))+G13</f>
        <v>1200000</v>
      </c>
      <c r="G13" s="269">
        <f>E13*0.2</f>
        <v>300000</v>
      </c>
      <c r="H13" s="270">
        <v>40</v>
      </c>
      <c r="I13" s="271">
        <v>30</v>
      </c>
      <c r="J13" s="198"/>
      <c r="K13" s="77">
        <f>((F13-G13)/I13)/4</f>
        <v>7500</v>
      </c>
      <c r="L13" s="166">
        <f>F13*$O$14</f>
        <v>75000</v>
      </c>
      <c r="N13" s="210" t="s">
        <v>86</v>
      </c>
      <c r="O13" s="145">
        <v>0.25</v>
      </c>
    </row>
    <row r="14" spans="1:16" x14ac:dyDescent="0.25">
      <c r="A14" s="296" t="s">
        <v>248</v>
      </c>
      <c r="B14" s="296"/>
      <c r="C14" s="50"/>
      <c r="D14" s="210" t="s">
        <v>270</v>
      </c>
      <c r="E14" s="269">
        <v>400000</v>
      </c>
      <c r="F14" s="77">
        <f t="shared" ref="F14:F15" si="0">((E14-G14)*(I14/H14))+G14</f>
        <v>400000</v>
      </c>
      <c r="G14" s="269">
        <f>E14*0.1</f>
        <v>40000</v>
      </c>
      <c r="H14" s="270">
        <v>15</v>
      </c>
      <c r="I14" s="272">
        <v>15</v>
      </c>
      <c r="J14" s="198"/>
      <c r="K14" s="77">
        <f t="shared" ref="K14:K15" si="1">((F14-G14)/I14)/4</f>
        <v>6000</v>
      </c>
      <c r="L14" s="166">
        <f t="shared" ref="L14:L15" si="2">F14*$O$14</f>
        <v>25000</v>
      </c>
      <c r="N14" s="210" t="s">
        <v>275</v>
      </c>
      <c r="O14" s="94">
        <f>O13/4</f>
        <v>6.25E-2</v>
      </c>
    </row>
    <row r="15" spans="1:16" x14ac:dyDescent="0.25">
      <c r="A15" s="296" t="s">
        <v>248</v>
      </c>
      <c r="B15" s="296"/>
      <c r="C15" s="50"/>
      <c r="D15" s="210" t="s">
        <v>272</v>
      </c>
      <c r="E15" s="269">
        <f>2*40000</f>
        <v>80000</v>
      </c>
      <c r="F15" s="77">
        <f t="shared" si="0"/>
        <v>80000</v>
      </c>
      <c r="G15" s="269">
        <f>E15*0.1</f>
        <v>8000</v>
      </c>
      <c r="H15" s="270">
        <v>5</v>
      </c>
      <c r="I15" s="272">
        <v>5</v>
      </c>
      <c r="J15" s="198"/>
      <c r="K15" s="77">
        <f t="shared" si="1"/>
        <v>3600</v>
      </c>
      <c r="L15" s="166">
        <f t="shared" si="2"/>
        <v>5000</v>
      </c>
    </row>
    <row r="16" spans="1:16" x14ac:dyDescent="0.25">
      <c r="C16" s="50"/>
      <c r="D16" s="50"/>
      <c r="E16" s="249"/>
      <c r="F16" s="249"/>
      <c r="G16" s="249"/>
      <c r="H16" s="268"/>
      <c r="I16" s="268"/>
      <c r="J16" s="198"/>
      <c r="K16" s="210"/>
      <c r="L16" s="199"/>
    </row>
    <row r="17" spans="1:13" x14ac:dyDescent="0.25">
      <c r="A17" s="281"/>
      <c r="B17" s="281"/>
      <c r="C17" s="50"/>
      <c r="D17" s="210"/>
      <c r="E17" s="210"/>
      <c r="F17" s="210" t="s">
        <v>178</v>
      </c>
      <c r="G17" s="210" t="s">
        <v>268</v>
      </c>
      <c r="H17" s="210" t="s">
        <v>257</v>
      </c>
      <c r="I17" s="211"/>
      <c r="J17" s="198"/>
      <c r="K17" s="210"/>
      <c r="L17" s="199"/>
    </row>
    <row r="18" spans="1:13" x14ac:dyDescent="0.25">
      <c r="A18" s="296" t="s">
        <v>247</v>
      </c>
      <c r="B18" s="296"/>
      <c r="C18" s="336" t="s">
        <v>267</v>
      </c>
      <c r="D18" s="349"/>
      <c r="E18" s="77">
        <v>50000</v>
      </c>
      <c r="F18" s="77">
        <f>E18*3</f>
        <v>150000</v>
      </c>
      <c r="G18" s="77">
        <f>F18*3</f>
        <v>450000</v>
      </c>
      <c r="H18" s="77">
        <f>F18*12</f>
        <v>1800000</v>
      </c>
      <c r="I18" s="273"/>
      <c r="J18" s="165">
        <f>G18</f>
        <v>450000</v>
      </c>
      <c r="K18" s="210"/>
      <c r="L18" s="166">
        <f>J18*$O$14</f>
        <v>28125</v>
      </c>
    </row>
    <row r="19" spans="1:13" x14ac:dyDescent="0.25">
      <c r="A19" s="296" t="s">
        <v>247</v>
      </c>
      <c r="B19" s="296"/>
      <c r="C19" s="50"/>
      <c r="D19" s="210" t="s">
        <v>271</v>
      </c>
      <c r="E19" s="77">
        <v>35</v>
      </c>
      <c r="F19" s="77">
        <f>E19*60</f>
        <v>2100</v>
      </c>
      <c r="G19" s="77">
        <f>F19*3</f>
        <v>6300</v>
      </c>
      <c r="H19" s="77">
        <f>G19*4</f>
        <v>25200</v>
      </c>
      <c r="I19" s="273"/>
      <c r="J19" s="165">
        <f t="shared" ref="J19:J22" si="3">G19</f>
        <v>6300</v>
      </c>
      <c r="K19" s="210"/>
      <c r="L19" s="166">
        <f t="shared" ref="L19:L22" si="4">J19*$O$14</f>
        <v>393.75</v>
      </c>
    </row>
    <row r="20" spans="1:13" x14ac:dyDescent="0.25">
      <c r="A20" s="296" t="s">
        <v>247</v>
      </c>
      <c r="B20" s="296"/>
      <c r="C20" s="50"/>
      <c r="D20" s="210" t="s">
        <v>273</v>
      </c>
      <c r="E20" s="77"/>
      <c r="F20" s="77">
        <v>10000</v>
      </c>
      <c r="G20" s="77">
        <f>F20*3</f>
        <v>30000</v>
      </c>
      <c r="H20" s="77">
        <f>F20*12</f>
        <v>120000</v>
      </c>
      <c r="I20" s="273"/>
      <c r="J20" s="165">
        <f t="shared" si="3"/>
        <v>30000</v>
      </c>
      <c r="K20" s="210"/>
      <c r="L20" s="166">
        <f t="shared" si="4"/>
        <v>1875</v>
      </c>
    </row>
    <row r="21" spans="1:13" x14ac:dyDescent="0.25">
      <c r="A21" s="296" t="s">
        <v>247</v>
      </c>
      <c r="B21" s="296"/>
      <c r="C21" s="50"/>
      <c r="D21" s="210" t="s">
        <v>197</v>
      </c>
      <c r="E21" s="77"/>
      <c r="F21" s="77">
        <v>4000</v>
      </c>
      <c r="G21" s="77">
        <f>F21*3</f>
        <v>12000</v>
      </c>
      <c r="H21" s="77">
        <f>F21*12</f>
        <v>48000</v>
      </c>
      <c r="I21" s="273"/>
      <c r="J21" s="165">
        <f t="shared" si="3"/>
        <v>12000</v>
      </c>
      <c r="K21" s="210"/>
      <c r="L21" s="166">
        <f t="shared" si="4"/>
        <v>750</v>
      </c>
    </row>
    <row r="22" spans="1:13" ht="15.75" thickBot="1" x14ac:dyDescent="0.3">
      <c r="A22" s="296" t="s">
        <v>247</v>
      </c>
      <c r="B22" s="296"/>
      <c r="C22" s="50"/>
      <c r="D22" s="210" t="s">
        <v>105</v>
      </c>
      <c r="E22" s="77">
        <v>4000</v>
      </c>
      <c r="F22" s="77">
        <f>E22/2</f>
        <v>2000</v>
      </c>
      <c r="G22" s="77">
        <f>F22*3</f>
        <v>6000</v>
      </c>
      <c r="H22" s="77">
        <f>F22*12</f>
        <v>24000</v>
      </c>
      <c r="I22" s="273"/>
      <c r="J22" s="188">
        <f t="shared" si="3"/>
        <v>6000</v>
      </c>
      <c r="K22" s="228"/>
      <c r="L22" s="274">
        <f t="shared" si="4"/>
        <v>375</v>
      </c>
    </row>
    <row r="23" spans="1:13" ht="15.75" thickBot="1" x14ac:dyDescent="0.3">
      <c r="J23" s="275">
        <f>SUM(J13:J22)</f>
        <v>504300</v>
      </c>
      <c r="K23" s="276">
        <f>SUM(K13:K21)</f>
        <v>17100</v>
      </c>
      <c r="L23" s="277">
        <f>SUM(L13:L22)</f>
        <v>136518.75</v>
      </c>
    </row>
    <row r="24" spans="1:13" ht="15.75" thickBot="1" x14ac:dyDescent="0.3">
      <c r="A24" s="334" t="s">
        <v>249</v>
      </c>
      <c r="B24" s="335"/>
    </row>
    <row r="25" spans="1:13" x14ac:dyDescent="0.25">
      <c r="A25" s="338" t="str">
        <f>D13</f>
        <v>Oficina</v>
      </c>
      <c r="B25" s="260" t="s">
        <v>250</v>
      </c>
      <c r="D25" s="312" t="s">
        <v>216</v>
      </c>
      <c r="E25" s="312"/>
      <c r="F25" s="145">
        <v>0.05</v>
      </c>
      <c r="L25" s="229">
        <f>SUM(J23:L23)</f>
        <v>657918.75</v>
      </c>
      <c r="M25" t="s">
        <v>268</v>
      </c>
    </row>
    <row r="26" spans="1:13" x14ac:dyDescent="0.25">
      <c r="A26" s="339"/>
      <c r="B26" s="199" t="s">
        <v>246</v>
      </c>
      <c r="D26" s="312" t="s">
        <v>105</v>
      </c>
      <c r="E26" s="312"/>
      <c r="F26" s="145">
        <v>0.26</v>
      </c>
    </row>
    <row r="27" spans="1:13" ht="15.75" thickBot="1" x14ac:dyDescent="0.3">
      <c r="A27" s="340"/>
      <c r="B27" s="261" t="s">
        <v>253</v>
      </c>
      <c r="D27" s="312" t="s">
        <v>274</v>
      </c>
      <c r="E27" s="312"/>
      <c r="F27" s="145">
        <v>0.3</v>
      </c>
      <c r="I27" s="309" t="s">
        <v>236</v>
      </c>
      <c r="J27" s="309"/>
      <c r="K27" s="309"/>
      <c r="L27" s="251">
        <f>L25+M27</f>
        <v>690814.6875</v>
      </c>
      <c r="M27" s="250">
        <f>L25*F25</f>
        <v>32895.9375</v>
      </c>
    </row>
    <row r="28" spans="1:13" x14ac:dyDescent="0.25">
      <c r="A28" s="338" t="str">
        <f>D14</f>
        <v>Auto</v>
      </c>
      <c r="B28" s="260" t="s">
        <v>250</v>
      </c>
      <c r="I28" s="309" t="s">
        <v>237</v>
      </c>
      <c r="J28" s="309"/>
      <c r="K28" s="309"/>
      <c r="L28" s="252">
        <f>L27+M28</f>
        <v>898059.09375</v>
      </c>
      <c r="M28" s="250">
        <f>L27*F27</f>
        <v>207244.40625</v>
      </c>
    </row>
    <row r="29" spans="1:13" x14ac:dyDescent="0.25">
      <c r="A29" s="339"/>
      <c r="B29" s="199" t="s">
        <v>246</v>
      </c>
      <c r="I29" s="329" t="s">
        <v>238</v>
      </c>
      <c r="J29" s="329"/>
      <c r="K29" s="329"/>
      <c r="L29" s="278">
        <f>L28+M29</f>
        <v>1131554.4581249999</v>
      </c>
      <c r="M29" s="196">
        <f>L28*F26</f>
        <v>233495.364375</v>
      </c>
    </row>
    <row r="30" spans="1:13" ht="15.75" thickBot="1" x14ac:dyDescent="0.3">
      <c r="A30" s="340"/>
      <c r="B30" s="261" t="s">
        <v>253</v>
      </c>
    </row>
    <row r="31" spans="1:13" x14ac:dyDescent="0.25">
      <c r="A31" s="338" t="str">
        <f>D15</f>
        <v>Computadoras</v>
      </c>
      <c r="B31" s="260" t="s">
        <v>250</v>
      </c>
      <c r="K31" s="279" t="s">
        <v>151</v>
      </c>
      <c r="L31" s="257">
        <f>L28-L27</f>
        <v>207244.40625</v>
      </c>
    </row>
    <row r="32" spans="1:13" x14ac:dyDescent="0.25">
      <c r="A32" s="339"/>
      <c r="B32" s="199" t="s">
        <v>246</v>
      </c>
      <c r="K32" s="50"/>
      <c r="L32" s="257">
        <f>L27*F27</f>
        <v>207244.40625</v>
      </c>
    </row>
    <row r="33" spans="1:3" ht="15.75" thickBot="1" x14ac:dyDescent="0.3">
      <c r="A33" s="340"/>
      <c r="B33" s="282" t="s">
        <v>253</v>
      </c>
    </row>
    <row r="34" spans="1:3" x14ac:dyDescent="0.25">
      <c r="A34" s="338" t="str">
        <f>C18</f>
        <v>Recursos humanos</v>
      </c>
      <c r="B34" s="312" t="s">
        <v>276</v>
      </c>
      <c r="C34" s="312"/>
    </row>
    <row r="35" spans="1:3" x14ac:dyDescent="0.25">
      <c r="A35" s="339"/>
      <c r="B35" s="283" t="s">
        <v>246</v>
      </c>
    </row>
    <row r="36" spans="1:3" ht="15.75" thickBot="1" x14ac:dyDescent="0.3">
      <c r="A36" s="340"/>
      <c r="B36" s="261" t="s">
        <v>253</v>
      </c>
    </row>
    <row r="37" spans="1:3" x14ac:dyDescent="0.25">
      <c r="A37" s="338" t="str">
        <f>D19</f>
        <v>Combustible</v>
      </c>
      <c r="B37" s="260" t="s">
        <v>251</v>
      </c>
    </row>
    <row r="38" spans="1:3" x14ac:dyDescent="0.25">
      <c r="A38" s="339"/>
      <c r="B38" s="199" t="s">
        <v>246</v>
      </c>
    </row>
    <row r="39" spans="1:3" ht="15.75" thickBot="1" x14ac:dyDescent="0.3">
      <c r="A39" s="340"/>
      <c r="B39" s="282" t="s">
        <v>253</v>
      </c>
    </row>
    <row r="40" spans="1:3" x14ac:dyDescent="0.25">
      <c r="A40" s="338" t="str">
        <f>D20</f>
        <v>Papelerias</v>
      </c>
      <c r="B40" s="260" t="s">
        <v>251</v>
      </c>
    </row>
    <row r="41" spans="1:3" x14ac:dyDescent="0.25">
      <c r="A41" s="339"/>
      <c r="B41" s="199" t="s">
        <v>246</v>
      </c>
    </row>
    <row r="42" spans="1:3" ht="15.75" thickBot="1" x14ac:dyDescent="0.3">
      <c r="A42" s="340"/>
      <c r="B42" s="261" t="s">
        <v>253</v>
      </c>
    </row>
    <row r="43" spans="1:3" x14ac:dyDescent="0.25">
      <c r="A43" s="338" t="str">
        <f>D21</f>
        <v>Servicios</v>
      </c>
      <c r="B43" s="260" t="s">
        <v>251</v>
      </c>
    </row>
    <row r="44" spans="1:3" x14ac:dyDescent="0.25">
      <c r="A44" s="339"/>
      <c r="B44" s="199" t="s">
        <v>246</v>
      </c>
    </row>
    <row r="45" spans="1:3" ht="15.75" thickBot="1" x14ac:dyDescent="0.3">
      <c r="A45" s="340"/>
      <c r="B45" s="261" t="s">
        <v>253</v>
      </c>
    </row>
    <row r="46" spans="1:3" x14ac:dyDescent="0.25">
      <c r="A46" s="338" t="str">
        <f>D22</f>
        <v>Impuestos</v>
      </c>
      <c r="B46" s="260" t="s">
        <v>251</v>
      </c>
    </row>
    <row r="47" spans="1:3" x14ac:dyDescent="0.25">
      <c r="A47" s="339"/>
      <c r="B47" s="199" t="s">
        <v>246</v>
      </c>
    </row>
    <row r="48" spans="1:3" ht="15.75" thickBot="1" x14ac:dyDescent="0.3">
      <c r="A48" s="340"/>
      <c r="B48" s="261" t="s">
        <v>253</v>
      </c>
    </row>
  </sheetData>
  <mergeCells count="35">
    <mergeCell ref="A46:A48"/>
    <mergeCell ref="B34:C34"/>
    <mergeCell ref="A31:A33"/>
    <mergeCell ref="A34:A36"/>
    <mergeCell ref="A37:A39"/>
    <mergeCell ref="A40:A42"/>
    <mergeCell ref="A43:A45"/>
    <mergeCell ref="I28:K28"/>
    <mergeCell ref="I29:K29"/>
    <mergeCell ref="A13:B13"/>
    <mergeCell ref="A14:B14"/>
    <mergeCell ref="A15:B15"/>
    <mergeCell ref="A18:B18"/>
    <mergeCell ref="A19:B19"/>
    <mergeCell ref="A20:B20"/>
    <mergeCell ref="A21:B21"/>
    <mergeCell ref="A22:B22"/>
    <mergeCell ref="A24:B24"/>
    <mergeCell ref="A25:A27"/>
    <mergeCell ref="A28:A30"/>
    <mergeCell ref="C18:D18"/>
    <mergeCell ref="D25:E25"/>
    <mergeCell ref="D26:E26"/>
    <mergeCell ref="D27:E27"/>
    <mergeCell ref="I27:K27"/>
    <mergeCell ref="B6:P6"/>
    <mergeCell ref="B7:P7"/>
    <mergeCell ref="B8:P8"/>
    <mergeCell ref="B9:P9"/>
    <mergeCell ref="A12:B12"/>
    <mergeCell ref="B1:P1"/>
    <mergeCell ref="B2:P2"/>
    <mergeCell ref="B3:P3"/>
    <mergeCell ref="B4:P4"/>
    <mergeCell ref="B5:P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8B498-028F-4BB9-9FD9-12E04B4E5433}">
  <dimension ref="B1:N22"/>
  <sheetViews>
    <sheetView workbookViewId="0">
      <selection activeCell="K11" sqref="K11"/>
    </sheetView>
  </sheetViews>
  <sheetFormatPr baseColWidth="10" defaultRowHeight="15" x14ac:dyDescent="0.25"/>
  <cols>
    <col min="3" max="3" width="13" customWidth="1"/>
    <col min="4" max="5" width="13.140625" bestFit="1" customWidth="1"/>
    <col min="7" max="7" width="13.140625" bestFit="1" customWidth="1"/>
    <col min="9" max="9" width="13.140625" bestFit="1" customWidth="1"/>
    <col min="11" max="12" width="13.140625" bestFit="1" customWidth="1"/>
  </cols>
  <sheetData>
    <row r="1" spans="2:14" ht="15.75" thickBot="1" x14ac:dyDescent="0.3"/>
    <row r="2" spans="2:14" x14ac:dyDescent="0.25">
      <c r="B2" s="50"/>
      <c r="C2" s="119"/>
      <c r="D2" s="119" t="s">
        <v>34</v>
      </c>
      <c r="E2" s="119" t="s">
        <v>55</v>
      </c>
      <c r="F2" s="119" t="s">
        <v>36</v>
      </c>
      <c r="G2" s="119" t="s">
        <v>40</v>
      </c>
      <c r="H2" s="120" t="s">
        <v>35</v>
      </c>
      <c r="I2" s="58" t="s">
        <v>89</v>
      </c>
      <c r="J2" s="59" t="s">
        <v>27</v>
      </c>
      <c r="K2" s="60" t="s">
        <v>43</v>
      </c>
    </row>
    <row r="3" spans="2:14" x14ac:dyDescent="0.25">
      <c r="B3" s="50"/>
      <c r="C3" s="210" t="s">
        <v>269</v>
      </c>
      <c r="D3" s="269">
        <v>1500000</v>
      </c>
      <c r="E3" s="77">
        <f>((D3-F3)*(H3/G3))+F3</f>
        <v>1200000</v>
      </c>
      <c r="F3" s="269">
        <f>D3*0.2</f>
        <v>300000</v>
      </c>
      <c r="G3" s="270">
        <v>40</v>
      </c>
      <c r="H3" s="271">
        <v>30</v>
      </c>
      <c r="I3" s="198"/>
      <c r="J3" s="77">
        <f>((E3-F3)/H3)</f>
        <v>30000</v>
      </c>
      <c r="K3" s="166">
        <f>E3*$N$3</f>
        <v>300000</v>
      </c>
      <c r="M3" s="53" t="s">
        <v>86</v>
      </c>
      <c r="N3" s="146">
        <v>0.25</v>
      </c>
    </row>
    <row r="4" spans="2:14" x14ac:dyDescent="0.25">
      <c r="B4" s="50"/>
      <c r="C4" s="210" t="s">
        <v>270</v>
      </c>
      <c r="D4" s="269">
        <v>400000</v>
      </c>
      <c r="E4" s="77">
        <f t="shared" ref="E4:E5" si="0">((D4-F4)*(H4/G4))+F4</f>
        <v>400000</v>
      </c>
      <c r="F4" s="269">
        <f>D4*0.1</f>
        <v>40000</v>
      </c>
      <c r="G4" s="270">
        <v>15</v>
      </c>
      <c r="H4" s="272">
        <v>15</v>
      </c>
      <c r="I4" s="198"/>
      <c r="J4" s="77">
        <f>((E4-F4)/H4)</f>
        <v>24000</v>
      </c>
      <c r="K4" s="166">
        <f>E4*$N$3</f>
        <v>100000</v>
      </c>
      <c r="M4" s="159"/>
      <c r="N4" s="280"/>
    </row>
    <row r="5" spans="2:14" x14ac:dyDescent="0.25">
      <c r="B5" s="50"/>
      <c r="C5" s="210" t="s">
        <v>272</v>
      </c>
      <c r="D5" s="269">
        <f>2*40000</f>
        <v>80000</v>
      </c>
      <c r="E5" s="77">
        <f t="shared" si="0"/>
        <v>80000</v>
      </c>
      <c r="F5" s="269">
        <f>D5*0.1</f>
        <v>8000</v>
      </c>
      <c r="G5" s="270">
        <v>5</v>
      </c>
      <c r="H5" s="272">
        <v>5</v>
      </c>
      <c r="I5" s="198"/>
      <c r="J5" s="77">
        <f>((E5-F5)/H5)</f>
        <v>14400</v>
      </c>
      <c r="K5" s="166">
        <f>E5*$N$3</f>
        <v>20000</v>
      </c>
    </row>
    <row r="6" spans="2:14" x14ac:dyDescent="0.25">
      <c r="B6" s="50"/>
      <c r="C6" s="50"/>
      <c r="D6" s="249"/>
      <c r="E6" s="249"/>
      <c r="F6" s="249"/>
      <c r="G6" s="268"/>
      <c r="H6" s="268"/>
      <c r="I6" s="198"/>
      <c r="J6" s="210"/>
      <c r="K6" s="199"/>
    </row>
    <row r="7" spans="2:14" x14ac:dyDescent="0.25">
      <c r="B7" s="50"/>
      <c r="C7" s="210"/>
      <c r="D7" s="210"/>
      <c r="E7" s="210" t="s">
        <v>178</v>
      </c>
      <c r="F7" s="210" t="s">
        <v>268</v>
      </c>
      <c r="G7" s="210" t="s">
        <v>257</v>
      </c>
      <c r="H7" s="211"/>
      <c r="I7" s="198"/>
      <c r="J7" s="210"/>
      <c r="K7" s="199"/>
    </row>
    <row r="8" spans="2:14" x14ac:dyDescent="0.25">
      <c r="B8" s="312" t="s">
        <v>267</v>
      </c>
      <c r="C8" s="349"/>
      <c r="D8" s="77">
        <v>50000</v>
      </c>
      <c r="E8" s="77">
        <f>D8*3</f>
        <v>150000</v>
      </c>
      <c r="F8" s="77">
        <f>E8*3</f>
        <v>450000</v>
      </c>
      <c r="G8" s="77">
        <f>E8*12</f>
        <v>1800000</v>
      </c>
      <c r="H8" s="273"/>
      <c r="I8" s="165">
        <f>G8</f>
        <v>1800000</v>
      </c>
      <c r="J8" s="210"/>
      <c r="K8" s="166">
        <f>I8*$N$3*(3/12)</f>
        <v>112500</v>
      </c>
    </row>
    <row r="9" spans="2:14" x14ac:dyDescent="0.25">
      <c r="B9" s="50"/>
      <c r="C9" s="210" t="s">
        <v>271</v>
      </c>
      <c r="D9" s="77">
        <v>35</v>
      </c>
      <c r="E9" s="77">
        <f>D9*60</f>
        <v>2100</v>
      </c>
      <c r="F9" s="77">
        <f>E9*3</f>
        <v>6300</v>
      </c>
      <c r="G9" s="77">
        <f>E9*12</f>
        <v>25200</v>
      </c>
      <c r="H9" s="273"/>
      <c r="I9" s="165">
        <f t="shared" ref="I9:I11" si="1">G9</f>
        <v>25200</v>
      </c>
      <c r="J9" s="210"/>
      <c r="K9" s="166">
        <f t="shared" ref="K9:K12" si="2">I9*$N$3*(3/12)</f>
        <v>1575</v>
      </c>
    </row>
    <row r="10" spans="2:14" x14ac:dyDescent="0.25">
      <c r="B10" s="50"/>
      <c r="C10" s="210" t="s">
        <v>273</v>
      </c>
      <c r="D10" s="77"/>
      <c r="E10" s="77">
        <v>10000</v>
      </c>
      <c r="F10" s="77">
        <f>E10*3</f>
        <v>30000</v>
      </c>
      <c r="G10" s="77">
        <f>E10*12</f>
        <v>120000</v>
      </c>
      <c r="H10" s="273"/>
      <c r="I10" s="165">
        <f t="shared" si="1"/>
        <v>120000</v>
      </c>
      <c r="J10" s="210"/>
      <c r="K10" s="166">
        <f>I10*$N$3*(3/12)</f>
        <v>7500</v>
      </c>
    </row>
    <row r="11" spans="2:14" x14ac:dyDescent="0.25">
      <c r="B11" s="50"/>
      <c r="C11" s="210" t="s">
        <v>197</v>
      </c>
      <c r="D11" s="77"/>
      <c r="E11" s="77">
        <v>4000</v>
      </c>
      <c r="F11" s="77">
        <f>E11*3</f>
        <v>12000</v>
      </c>
      <c r="G11" s="77">
        <f>E11*12</f>
        <v>48000</v>
      </c>
      <c r="H11" s="273"/>
      <c r="I11" s="165">
        <f t="shared" si="1"/>
        <v>48000</v>
      </c>
      <c r="J11" s="210"/>
      <c r="K11" s="166">
        <f t="shared" si="2"/>
        <v>3000</v>
      </c>
    </row>
    <row r="12" spans="2:14" ht="15.75" thickBot="1" x14ac:dyDescent="0.3">
      <c r="B12" s="50"/>
      <c r="C12" s="210" t="s">
        <v>105</v>
      </c>
      <c r="D12" s="77">
        <v>4000</v>
      </c>
      <c r="E12" s="77">
        <f>D12/2</f>
        <v>2000</v>
      </c>
      <c r="F12" s="77">
        <f>E12*3</f>
        <v>6000</v>
      </c>
      <c r="G12" s="77">
        <f>E12*12</f>
        <v>24000</v>
      </c>
      <c r="H12" s="273"/>
      <c r="I12" s="165">
        <f>G12</f>
        <v>24000</v>
      </c>
      <c r="J12" s="228"/>
      <c r="K12" s="166">
        <f t="shared" si="2"/>
        <v>1500</v>
      </c>
    </row>
    <row r="13" spans="2:14" ht="15.75" thickBot="1" x14ac:dyDescent="0.3">
      <c r="I13" s="275">
        <f>SUM(I3:I12)</f>
        <v>2017200</v>
      </c>
      <c r="J13" s="276">
        <f>SUM(J3:J11)</f>
        <v>68400</v>
      </c>
      <c r="K13" s="277">
        <f>SUM(K3:K12)</f>
        <v>546075</v>
      </c>
    </row>
    <row r="14" spans="2:14" x14ac:dyDescent="0.25">
      <c r="K14" s="229">
        <f>SUM(I13:K13)</f>
        <v>2631675</v>
      </c>
      <c r="L14" t="s">
        <v>177</v>
      </c>
    </row>
    <row r="15" spans="2:14" x14ac:dyDescent="0.25">
      <c r="C15" s="312" t="s">
        <v>216</v>
      </c>
      <c r="D15" s="312"/>
      <c r="E15" s="145">
        <v>0.05</v>
      </c>
      <c r="K15" s="77">
        <f>K14/4</f>
        <v>657918.75</v>
      </c>
      <c r="L15" t="s">
        <v>268</v>
      </c>
    </row>
    <row r="16" spans="2:14" x14ac:dyDescent="0.25">
      <c r="C16" s="312" t="s">
        <v>105</v>
      </c>
      <c r="D16" s="312"/>
      <c r="E16" s="145">
        <v>0.26</v>
      </c>
    </row>
    <row r="17" spans="3:12" x14ac:dyDescent="0.25">
      <c r="C17" s="312" t="s">
        <v>274</v>
      </c>
      <c r="D17" s="312"/>
      <c r="E17" s="145">
        <v>0.3</v>
      </c>
      <c r="H17" s="309" t="s">
        <v>236</v>
      </c>
      <c r="I17" s="309"/>
      <c r="J17" s="309"/>
      <c r="K17" s="251">
        <f>K15+L17</f>
        <v>690814.6875</v>
      </c>
      <c r="L17" s="250">
        <f>K15*E15</f>
        <v>32895.9375</v>
      </c>
    </row>
    <row r="18" spans="3:12" x14ac:dyDescent="0.25">
      <c r="H18" s="309" t="s">
        <v>237</v>
      </c>
      <c r="I18" s="309"/>
      <c r="J18" s="309"/>
      <c r="K18" s="252">
        <f>K17+L18</f>
        <v>898059.09375</v>
      </c>
      <c r="L18" s="250">
        <f>K17*E17</f>
        <v>207244.40625</v>
      </c>
    </row>
    <row r="19" spans="3:12" x14ac:dyDescent="0.25">
      <c r="H19" s="329" t="s">
        <v>238</v>
      </c>
      <c r="I19" s="329"/>
      <c r="J19" s="329"/>
      <c r="K19" s="278">
        <f>K18+L19</f>
        <v>1131554.4581249999</v>
      </c>
      <c r="L19" s="196">
        <f>K18*E16</f>
        <v>233495.364375</v>
      </c>
    </row>
    <row r="21" spans="3:12" x14ac:dyDescent="0.25">
      <c r="J21" s="279" t="s">
        <v>151</v>
      </c>
      <c r="K21" s="257">
        <f>K18-K17</f>
        <v>207244.40625</v>
      </c>
    </row>
    <row r="22" spans="3:12" x14ac:dyDescent="0.25">
      <c r="J22" s="50"/>
      <c r="K22" s="257">
        <f>K17*E17</f>
        <v>207244.40625</v>
      </c>
    </row>
  </sheetData>
  <mergeCells count="7">
    <mergeCell ref="H19:J19"/>
    <mergeCell ref="B8:C8"/>
    <mergeCell ref="C15:D15"/>
    <mergeCell ref="C16:D16"/>
    <mergeCell ref="C17:D17"/>
    <mergeCell ref="H17:J17"/>
    <mergeCell ref="H18:J1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E316C-777F-40DC-96FF-22CA12D6BA0F}">
  <dimension ref="B3:J46"/>
  <sheetViews>
    <sheetView topLeftCell="A34" workbookViewId="0">
      <selection activeCell="C4" sqref="C4"/>
    </sheetView>
  </sheetViews>
  <sheetFormatPr baseColWidth="10" defaultRowHeight="15" x14ac:dyDescent="0.25"/>
  <cols>
    <col min="2" max="2" width="9.140625" customWidth="1"/>
    <col min="3" max="3" width="13" bestFit="1" customWidth="1"/>
    <col min="5" max="5" width="13.140625" customWidth="1"/>
    <col min="6" max="6" width="14" bestFit="1" customWidth="1"/>
    <col min="8" max="8" width="14" customWidth="1"/>
    <col min="10" max="10" width="12.42578125" bestFit="1" customWidth="1"/>
  </cols>
  <sheetData>
    <row r="3" spans="2:10" ht="15" customHeight="1" x14ac:dyDescent="0.25">
      <c r="B3" s="16" t="s">
        <v>55</v>
      </c>
      <c r="C3" s="12">
        <v>800000</v>
      </c>
      <c r="D3" s="7"/>
      <c r="E3" s="11" t="s">
        <v>37</v>
      </c>
      <c r="F3" s="12">
        <f>(F5-C4)/C5</f>
        <v>49230.769230769227</v>
      </c>
      <c r="G3" s="291" t="s">
        <v>38</v>
      </c>
      <c r="H3" s="291"/>
      <c r="I3" s="7"/>
      <c r="J3" s="10"/>
    </row>
    <row r="4" spans="2:10" x14ac:dyDescent="0.25">
      <c r="B4" s="16" t="s">
        <v>36</v>
      </c>
      <c r="C4" s="13">
        <f>C3*0.2</f>
        <v>160000</v>
      </c>
      <c r="D4" s="7"/>
      <c r="E4" s="7"/>
      <c r="F4" s="7"/>
      <c r="G4" s="7"/>
      <c r="H4" s="7"/>
      <c r="I4" s="7"/>
      <c r="J4" s="7"/>
    </row>
    <row r="5" spans="2:10" x14ac:dyDescent="0.25">
      <c r="B5" s="16" t="s">
        <v>40</v>
      </c>
      <c r="C5" s="11">
        <v>15</v>
      </c>
      <c r="D5" s="7"/>
      <c r="E5" s="15" t="s">
        <v>34</v>
      </c>
      <c r="F5" s="34">
        <f>((C3-C4)*(C5/C6))+C4</f>
        <v>898461.53846153838</v>
      </c>
      <c r="G5" s="291" t="s">
        <v>41</v>
      </c>
      <c r="H5" s="291"/>
      <c r="I5" s="7"/>
      <c r="J5" s="7"/>
    </row>
    <row r="6" spans="2:10" x14ac:dyDescent="0.25">
      <c r="B6" s="16" t="s">
        <v>35</v>
      </c>
      <c r="C6" s="11">
        <v>13</v>
      </c>
      <c r="D6" s="7"/>
      <c r="E6" s="7"/>
      <c r="F6" s="35"/>
      <c r="G6" s="7"/>
      <c r="H6" s="7"/>
      <c r="I6" s="7"/>
      <c r="J6" s="7"/>
    </row>
    <row r="7" spans="2:10" x14ac:dyDescent="0.25">
      <c r="B7" s="17"/>
      <c r="C7" s="18"/>
      <c r="D7" s="7"/>
      <c r="E7" s="7"/>
      <c r="F7" s="28"/>
      <c r="G7" s="7"/>
      <c r="H7" s="7"/>
      <c r="I7" s="7"/>
      <c r="J7" s="7"/>
    </row>
    <row r="8" spans="2:10" x14ac:dyDescent="0.25">
      <c r="B8" s="16" t="s">
        <v>34</v>
      </c>
      <c r="C8" s="12">
        <v>750000</v>
      </c>
      <c r="D8" s="7"/>
      <c r="E8" s="15" t="s">
        <v>37</v>
      </c>
      <c r="F8" s="19">
        <f>(C8-C9)/C10</f>
        <v>71250</v>
      </c>
      <c r="G8" s="291" t="s">
        <v>38</v>
      </c>
      <c r="H8" s="291"/>
      <c r="I8" s="7"/>
      <c r="J8" s="10">
        <f>F8*4</f>
        <v>285000</v>
      </c>
    </row>
    <row r="9" spans="2:10" x14ac:dyDescent="0.25">
      <c r="B9" s="16" t="s">
        <v>36</v>
      </c>
      <c r="C9" s="13">
        <f>C8*0.05</f>
        <v>37500</v>
      </c>
      <c r="D9" s="7"/>
      <c r="E9" s="7"/>
      <c r="F9" s="7"/>
      <c r="G9" s="7"/>
      <c r="H9" s="7"/>
      <c r="I9" s="7"/>
      <c r="J9" s="7"/>
    </row>
    <row r="10" spans="2:10" x14ac:dyDescent="0.25">
      <c r="B10" s="16" t="s">
        <v>40</v>
      </c>
      <c r="C10" s="11">
        <v>10</v>
      </c>
      <c r="D10" s="7"/>
      <c r="E10" s="11" t="s">
        <v>39</v>
      </c>
      <c r="F10" s="13">
        <f>((C8-C9)*(C11/C10))+C9</f>
        <v>465000</v>
      </c>
      <c r="G10" s="291" t="s">
        <v>56</v>
      </c>
      <c r="H10" s="291"/>
      <c r="I10" s="7"/>
      <c r="J10" s="7"/>
    </row>
    <row r="11" spans="2:10" x14ac:dyDescent="0.25">
      <c r="B11" s="16" t="s">
        <v>35</v>
      </c>
      <c r="C11" s="11">
        <v>6</v>
      </c>
      <c r="D11" s="7"/>
      <c r="E11" s="7"/>
      <c r="F11" s="13">
        <f>(F8*C11)+C9</f>
        <v>465000</v>
      </c>
      <c r="G11" s="7"/>
      <c r="H11" s="7"/>
      <c r="I11" s="4"/>
      <c r="J11" s="4"/>
    </row>
    <row r="12" spans="2:10" x14ac:dyDescent="0.25">
      <c r="B12" s="17"/>
      <c r="C12" s="18"/>
      <c r="D12" s="7"/>
      <c r="E12" s="7"/>
      <c r="F12" s="13">
        <f>C8-J8</f>
        <v>465000</v>
      </c>
      <c r="G12" s="7"/>
      <c r="H12" s="7"/>
      <c r="I12" s="4"/>
      <c r="J12" s="4"/>
    </row>
    <row r="13" spans="2:10" x14ac:dyDescent="0.25">
      <c r="B13" s="17"/>
      <c r="C13" s="18"/>
      <c r="D13" s="7"/>
      <c r="E13" s="7"/>
      <c r="F13" s="28"/>
      <c r="G13" s="7"/>
      <c r="H13" s="7"/>
      <c r="I13" s="7"/>
      <c r="J13" s="7"/>
    </row>
    <row r="15" spans="2:10" x14ac:dyDescent="0.25">
      <c r="B15" s="16" t="s">
        <v>34</v>
      </c>
      <c r="C15" s="12">
        <v>750000</v>
      </c>
      <c r="D15" s="7"/>
      <c r="E15" s="15" t="s">
        <v>37</v>
      </c>
      <c r="F15" s="19">
        <f>(C15-C16)/C17</f>
        <v>50000</v>
      </c>
      <c r="G15" s="291" t="s">
        <v>38</v>
      </c>
      <c r="H15" s="291"/>
      <c r="I15" s="7"/>
      <c r="J15" s="10">
        <f>F15*11</f>
        <v>550000</v>
      </c>
    </row>
    <row r="16" spans="2:10" x14ac:dyDescent="0.25">
      <c r="B16" s="16" t="s">
        <v>36</v>
      </c>
      <c r="C16" s="13">
        <v>0</v>
      </c>
      <c r="D16" s="7"/>
      <c r="E16" s="7"/>
      <c r="F16" s="7"/>
      <c r="G16" s="7"/>
      <c r="H16" s="7"/>
      <c r="I16" s="7"/>
      <c r="J16" s="7"/>
    </row>
    <row r="17" spans="2:10" x14ac:dyDescent="0.25">
      <c r="B17" s="16" t="s">
        <v>40</v>
      </c>
      <c r="C17" s="11">
        <v>15</v>
      </c>
      <c r="D17" s="7"/>
      <c r="E17" s="11" t="s">
        <v>39</v>
      </c>
      <c r="F17" s="13">
        <f>((C15-C16)*(C18/C17))+C16</f>
        <v>200000</v>
      </c>
      <c r="G17" s="291" t="s">
        <v>56</v>
      </c>
      <c r="H17" s="291"/>
      <c r="I17" s="7"/>
      <c r="J17" s="7"/>
    </row>
    <row r="18" spans="2:10" x14ac:dyDescent="0.25">
      <c r="B18" s="16" t="s">
        <v>35</v>
      </c>
      <c r="C18" s="11">
        <v>4</v>
      </c>
      <c r="D18" s="7"/>
      <c r="E18" s="7"/>
      <c r="F18" s="13">
        <f>(F15*C18)+C16</f>
        <v>200000</v>
      </c>
      <c r="G18" s="7"/>
      <c r="H18" s="7"/>
      <c r="I18" s="4"/>
      <c r="J18" s="4"/>
    </row>
    <row r="19" spans="2:10" x14ac:dyDescent="0.25">
      <c r="B19" s="17"/>
      <c r="C19" s="18"/>
      <c r="D19" s="7"/>
      <c r="E19" s="7"/>
      <c r="F19" s="13">
        <f>C15-J15</f>
        <v>200000</v>
      </c>
      <c r="G19" s="7"/>
      <c r="H19" s="7"/>
      <c r="I19" s="4"/>
      <c r="J19" s="4"/>
    </row>
    <row r="21" spans="2:10" x14ac:dyDescent="0.25">
      <c r="B21" s="16" t="s">
        <v>34</v>
      </c>
      <c r="C21" s="12">
        <v>800000</v>
      </c>
      <c r="D21" s="7"/>
      <c r="E21" s="15" t="s">
        <v>37</v>
      </c>
      <c r="F21" s="19">
        <f>(C21-C22)/C23</f>
        <v>42666.666666666664</v>
      </c>
      <c r="G21" s="291" t="s">
        <v>38</v>
      </c>
      <c r="H21" s="291"/>
      <c r="I21" s="7"/>
      <c r="J21" s="10">
        <f>F21*2</f>
        <v>85333.333333333328</v>
      </c>
    </row>
    <row r="22" spans="2:10" x14ac:dyDescent="0.25">
      <c r="B22" s="16" t="s">
        <v>36</v>
      </c>
      <c r="C22" s="13">
        <f>C21*0.2</f>
        <v>160000</v>
      </c>
      <c r="D22" s="7"/>
      <c r="E22" s="7"/>
      <c r="F22" s="7"/>
      <c r="G22" s="7"/>
      <c r="H22" s="7"/>
      <c r="I22" s="7"/>
      <c r="J22" s="7"/>
    </row>
    <row r="23" spans="2:10" x14ac:dyDescent="0.25">
      <c r="B23" s="16" t="s">
        <v>40</v>
      </c>
      <c r="C23" s="11">
        <v>15</v>
      </c>
      <c r="D23" s="7"/>
      <c r="E23" s="11" t="s">
        <v>39</v>
      </c>
      <c r="F23" s="13">
        <f>((C21-C22)*(C24/C23))+C22</f>
        <v>714666.66666666663</v>
      </c>
      <c r="G23" s="291" t="s">
        <v>56</v>
      </c>
      <c r="H23" s="291"/>
      <c r="I23" s="7"/>
      <c r="J23" s="7"/>
    </row>
    <row r="24" spans="2:10" x14ac:dyDescent="0.25">
      <c r="B24" s="16" t="s">
        <v>35</v>
      </c>
      <c r="C24" s="11">
        <v>13</v>
      </c>
      <c r="D24" s="7"/>
      <c r="E24" s="7"/>
      <c r="F24" s="13">
        <f>(F21*C24)+C22</f>
        <v>714666.66666666663</v>
      </c>
      <c r="G24" s="7"/>
      <c r="H24" s="7"/>
      <c r="I24" s="4"/>
      <c r="J24" s="4"/>
    </row>
    <row r="25" spans="2:10" x14ac:dyDescent="0.25">
      <c r="B25" s="17"/>
      <c r="C25" s="18"/>
      <c r="D25" s="7"/>
      <c r="E25" s="7"/>
      <c r="F25" s="13">
        <f>C21-J21</f>
        <v>714666.66666666663</v>
      </c>
      <c r="G25" s="7"/>
      <c r="H25" s="7"/>
      <c r="I25" s="4"/>
      <c r="J25" s="4"/>
    </row>
    <row r="28" spans="2:10" x14ac:dyDescent="0.25">
      <c r="B28" s="36" t="s">
        <v>55</v>
      </c>
      <c r="C28" s="37">
        <f>40000</f>
        <v>40000</v>
      </c>
      <c r="D28" s="7"/>
      <c r="E28" s="15" t="s">
        <v>37</v>
      </c>
      <c r="F28" s="19">
        <f>(C30-C29)/C31</f>
        <v>32000</v>
      </c>
      <c r="G28" s="291" t="s">
        <v>38</v>
      </c>
      <c r="H28" s="291"/>
      <c r="I28" s="7"/>
      <c r="J28" s="10"/>
    </row>
    <row r="29" spans="2:10" x14ac:dyDescent="0.25">
      <c r="B29" s="16" t="s">
        <v>36</v>
      </c>
      <c r="C29" s="13">
        <f>C28*0.2</f>
        <v>8000</v>
      </c>
      <c r="D29" s="7"/>
      <c r="E29" s="18"/>
      <c r="F29" s="38"/>
      <c r="G29" s="33"/>
      <c r="H29" s="33"/>
      <c r="I29" s="7"/>
      <c r="J29" s="10"/>
    </row>
    <row r="30" spans="2:10" x14ac:dyDescent="0.25">
      <c r="B30" s="16" t="s">
        <v>34</v>
      </c>
      <c r="C30" s="12">
        <v>72000</v>
      </c>
      <c r="D30" s="7"/>
      <c r="E30" s="7"/>
      <c r="F30" s="7"/>
      <c r="G30" s="7"/>
      <c r="H30" s="7"/>
      <c r="I30" s="7"/>
      <c r="J30" s="7"/>
    </row>
    <row r="31" spans="2:10" x14ac:dyDescent="0.25">
      <c r="B31" s="16" t="s">
        <v>40</v>
      </c>
      <c r="C31" s="11">
        <v>2</v>
      </c>
      <c r="D31" s="7"/>
      <c r="E31" s="11"/>
      <c r="F31" s="13"/>
      <c r="G31" s="291"/>
      <c r="H31" s="291"/>
      <c r="I31" s="7"/>
      <c r="J31" s="7"/>
    </row>
    <row r="32" spans="2:10" x14ac:dyDescent="0.25">
      <c r="B32" s="16" t="s">
        <v>35</v>
      </c>
      <c r="C32" s="11"/>
      <c r="D32" s="7"/>
      <c r="E32" s="7"/>
      <c r="F32" s="13"/>
      <c r="G32" s="7"/>
      <c r="H32" s="7"/>
      <c r="I32" s="4"/>
      <c r="J32" s="4"/>
    </row>
    <row r="33" spans="2:10" x14ac:dyDescent="0.25">
      <c r="B33" s="17"/>
      <c r="C33" s="18"/>
      <c r="D33" s="7"/>
      <c r="E33" s="7"/>
      <c r="F33" s="13"/>
      <c r="G33" s="7"/>
      <c r="H33" s="7"/>
      <c r="I33" s="4"/>
      <c r="J33" s="4"/>
    </row>
    <row r="36" spans="2:10" x14ac:dyDescent="0.25">
      <c r="B36" s="16" t="s">
        <v>34</v>
      </c>
      <c r="C36" s="12">
        <v>80000</v>
      </c>
      <c r="D36" s="7"/>
      <c r="E36" s="15" t="s">
        <v>37</v>
      </c>
      <c r="F36" s="19">
        <f>(C36-C37)/C38</f>
        <v>18000</v>
      </c>
      <c r="G36" s="291" t="s">
        <v>38</v>
      </c>
      <c r="H36" s="291"/>
      <c r="I36" s="7"/>
      <c r="J36" s="10"/>
    </row>
    <row r="37" spans="2:10" x14ac:dyDescent="0.25">
      <c r="B37" s="16" t="s">
        <v>36</v>
      </c>
      <c r="C37" s="13">
        <f>C36*0.1</f>
        <v>8000</v>
      </c>
      <c r="D37" s="7"/>
      <c r="E37" s="7"/>
      <c r="F37" s="7"/>
      <c r="G37" s="7"/>
      <c r="H37" s="7"/>
      <c r="I37" s="7"/>
      <c r="J37" s="7"/>
    </row>
    <row r="38" spans="2:10" x14ac:dyDescent="0.25">
      <c r="B38" s="16" t="s">
        <v>40</v>
      </c>
      <c r="C38" s="11">
        <v>4</v>
      </c>
      <c r="D38" s="7"/>
      <c r="E38" s="11"/>
      <c r="F38" s="13"/>
      <c r="G38" s="291"/>
      <c r="H38" s="291"/>
      <c r="I38" s="7"/>
      <c r="J38" s="7"/>
    </row>
    <row r="39" spans="2:10" x14ac:dyDescent="0.25">
      <c r="B39" s="16" t="s">
        <v>35</v>
      </c>
      <c r="C39" s="11"/>
      <c r="D39" s="7"/>
      <c r="E39" s="7"/>
      <c r="F39" s="13"/>
      <c r="G39" s="7"/>
      <c r="H39" s="7"/>
      <c r="I39" s="4"/>
      <c r="J39" s="4"/>
    </row>
    <row r="40" spans="2:10" x14ac:dyDescent="0.25">
      <c r="B40" s="17"/>
      <c r="C40" s="18"/>
      <c r="D40" s="7"/>
      <c r="E40" s="7"/>
      <c r="F40" s="13"/>
      <c r="G40" s="7"/>
      <c r="H40" s="7"/>
      <c r="I40" s="4"/>
      <c r="J40" s="4"/>
    </row>
    <row r="43" spans="2:10" ht="30" x14ac:dyDescent="0.25">
      <c r="B43" t="s">
        <v>34</v>
      </c>
      <c r="C43" s="40">
        <v>200000</v>
      </c>
      <c r="E43" s="15" t="s">
        <v>42</v>
      </c>
      <c r="F43" s="41">
        <f>(C43-C44)/(C45/C46)</f>
        <v>44200</v>
      </c>
      <c r="G43" s="291" t="s">
        <v>38</v>
      </c>
      <c r="H43" s="291"/>
    </row>
    <row r="44" spans="2:10" x14ac:dyDescent="0.25">
      <c r="B44" t="s">
        <v>36</v>
      </c>
      <c r="C44" s="40">
        <f>C43*0.15</f>
        <v>30000</v>
      </c>
    </row>
    <row r="45" spans="2:10" x14ac:dyDescent="0.25">
      <c r="B45" t="s">
        <v>57</v>
      </c>
      <c r="C45">
        <v>50000</v>
      </c>
      <c r="D45">
        <f>C45/C46</f>
        <v>3.8461538461538463</v>
      </c>
    </row>
    <row r="46" spans="2:10" x14ac:dyDescent="0.25">
      <c r="B46" t="s">
        <v>35</v>
      </c>
      <c r="C46">
        <v>13000</v>
      </c>
    </row>
  </sheetData>
  <mergeCells count="13">
    <mergeCell ref="G43:H43"/>
    <mergeCell ref="G3:H3"/>
    <mergeCell ref="G5:H5"/>
    <mergeCell ref="G15:H15"/>
    <mergeCell ref="G17:H17"/>
    <mergeCell ref="G8:H8"/>
    <mergeCell ref="G10:H10"/>
    <mergeCell ref="G28:H28"/>
    <mergeCell ref="G31:H31"/>
    <mergeCell ref="G36:H36"/>
    <mergeCell ref="G38:H38"/>
    <mergeCell ref="G21:H21"/>
    <mergeCell ref="G23:H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1-7</vt:lpstr>
      <vt:lpstr>8</vt:lpstr>
      <vt:lpstr>9</vt:lpstr>
      <vt:lpstr>10</vt:lpstr>
      <vt:lpstr>11</vt:lpstr>
      <vt:lpstr>12</vt:lpstr>
      <vt:lpstr>13</vt:lpstr>
      <vt:lpstr>14</vt:lpstr>
      <vt:lpstr>15</vt:lpstr>
      <vt:lpstr>16 3meses</vt:lpstr>
      <vt:lpstr>16 1 año</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Bargas</dc:creator>
  <cp:lastModifiedBy>Santiago Bargas</cp:lastModifiedBy>
  <dcterms:created xsi:type="dcterms:W3CDTF">2021-06-15T23:16:31Z</dcterms:created>
  <dcterms:modified xsi:type="dcterms:W3CDTF">2021-06-29T19:13:02Z</dcterms:modified>
</cp:coreProperties>
</file>