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anti\Desktop\4 AÑO IARA\Economia y costos\"/>
    </mc:Choice>
  </mc:AlternateContent>
  <xr:revisionPtr revIDLastSave="0" documentId="13_ncr:1_{C9A4DDAD-2AD0-4F22-A2BC-5B3F042D2EB1}" xr6:coauthVersionLast="45" xr6:coauthVersionMax="45" xr10:uidLastSave="{00000000-0000-0000-0000-000000000000}"/>
  <bookViews>
    <workbookView xWindow="-120" yWindow="-120" windowWidth="20730" windowHeight="11160" firstSheet="1" activeTab="3" xr2:uid="{E34D22D4-C247-4D71-BB87-0F67B2D559DA}"/>
  </bookViews>
  <sheets>
    <sheet name="Amortizacion de creditos" sheetId="1" r:id="rId1"/>
    <sheet name="VAN y TIR" sheetId="2" r:id="rId2"/>
    <sheet name="ejercitacion integradora" sheetId="3" r:id="rId3"/>
    <sheet name="Actividades adicional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75" i="4" l="1"/>
  <c r="J74" i="4"/>
  <c r="I73" i="4"/>
  <c r="H74" i="4"/>
  <c r="E73" i="4"/>
  <c r="D44" i="2"/>
  <c r="F73" i="4"/>
  <c r="E74" i="4"/>
  <c r="E72" i="4"/>
  <c r="D72" i="4"/>
  <c r="C72" i="4"/>
  <c r="H77" i="4"/>
  <c r="C80" i="4"/>
  <c r="I49" i="2"/>
  <c r="L50" i="2"/>
  <c r="L49" i="2"/>
  <c r="H78" i="4"/>
  <c r="C67" i="4" l="1"/>
  <c r="AC27" i="4" l="1"/>
  <c r="G30" i="4"/>
  <c r="I118" i="3"/>
  <c r="T111" i="3"/>
  <c r="J111" i="3"/>
  <c r="K111" i="3"/>
  <c r="L115" i="3" s="1"/>
  <c r="L116" i="3" s="1"/>
  <c r="L111" i="3"/>
  <c r="M111" i="3"/>
  <c r="N111" i="3"/>
  <c r="O111" i="3"/>
  <c r="O115" i="3" s="1"/>
  <c r="O116" i="3" s="1"/>
  <c r="P111" i="3"/>
  <c r="Q111" i="3"/>
  <c r="Q115" i="3" s="1"/>
  <c r="Q116" i="3" s="1"/>
  <c r="R111" i="3"/>
  <c r="S111" i="3"/>
  <c r="I111" i="3"/>
  <c r="H110" i="3"/>
  <c r="Q35" i="4"/>
  <c r="Q36" i="4" s="1"/>
  <c r="V51" i="3"/>
  <c r="X51" i="3" s="1"/>
  <c r="L51" i="3"/>
  <c r="M51" i="3"/>
  <c r="N55" i="3" s="1"/>
  <c r="N56" i="3" s="1"/>
  <c r="N51" i="3"/>
  <c r="O51" i="3"/>
  <c r="P51" i="3"/>
  <c r="P55" i="3" s="1"/>
  <c r="P56" i="3" s="1"/>
  <c r="Q51" i="3"/>
  <c r="Q52" i="3" s="1"/>
  <c r="R51" i="3"/>
  <c r="R52" i="3" s="1"/>
  <c r="S51" i="3"/>
  <c r="T55" i="3" s="1"/>
  <c r="T56" i="3" s="1"/>
  <c r="T51" i="3"/>
  <c r="U51" i="3"/>
  <c r="V55" i="3" s="1"/>
  <c r="V56" i="3" s="1"/>
  <c r="K51" i="3"/>
  <c r="K52" i="3" s="1"/>
  <c r="J50" i="3"/>
  <c r="W55" i="3"/>
  <c r="W56" i="3" s="1"/>
  <c r="O55" i="3"/>
  <c r="O56" i="3" s="1"/>
  <c r="K53" i="3"/>
  <c r="L53" i="3" s="1"/>
  <c r="M53" i="3" s="1"/>
  <c r="N53" i="3" s="1"/>
  <c r="O53" i="3" s="1"/>
  <c r="P53" i="3" s="1"/>
  <c r="Q53" i="3" s="1"/>
  <c r="R53" i="3" s="1"/>
  <c r="S53" i="3" s="1"/>
  <c r="T53" i="3" s="1"/>
  <c r="U53" i="3" s="1"/>
  <c r="V53" i="3" s="1"/>
  <c r="W53" i="3" s="1"/>
  <c r="O52" i="3"/>
  <c r="J52" i="3"/>
  <c r="N52" i="3"/>
  <c r="L55" i="3"/>
  <c r="L56" i="3" s="1"/>
  <c r="K49" i="3"/>
  <c r="L49" i="3" s="1"/>
  <c r="M49" i="3" s="1"/>
  <c r="N49" i="3" s="1"/>
  <c r="O49" i="3" s="1"/>
  <c r="P49" i="3" s="1"/>
  <c r="Q49" i="3" s="1"/>
  <c r="R49" i="3" s="1"/>
  <c r="S49" i="3" s="1"/>
  <c r="T49" i="3" s="1"/>
  <c r="U49" i="3" s="1"/>
  <c r="V49" i="3" s="1"/>
  <c r="U115" i="3"/>
  <c r="U116" i="3" s="1"/>
  <c r="N116" i="3"/>
  <c r="H116" i="3"/>
  <c r="J115" i="3"/>
  <c r="J116" i="3" s="1"/>
  <c r="K115" i="3"/>
  <c r="K116" i="3" s="1"/>
  <c r="M115" i="3"/>
  <c r="M116" i="3" s="1"/>
  <c r="N115" i="3"/>
  <c r="S115" i="3"/>
  <c r="S116" i="3" s="1"/>
  <c r="I115" i="3"/>
  <c r="I116" i="3" s="1"/>
  <c r="I114" i="3"/>
  <c r="I112" i="3"/>
  <c r="J112" i="3"/>
  <c r="K112" i="3"/>
  <c r="L112" i="3"/>
  <c r="M112" i="3"/>
  <c r="N112" i="3"/>
  <c r="O112" i="3"/>
  <c r="P112" i="3"/>
  <c r="R112" i="3"/>
  <c r="S112" i="3"/>
  <c r="T112" i="3"/>
  <c r="H112" i="3"/>
  <c r="H114" i="3"/>
  <c r="V111" i="3"/>
  <c r="AD32" i="4"/>
  <c r="AC32" i="4"/>
  <c r="I113" i="3"/>
  <c r="J113" i="3" s="1"/>
  <c r="K113" i="3" s="1"/>
  <c r="L113" i="3" s="1"/>
  <c r="M113" i="3" s="1"/>
  <c r="N113" i="3" s="1"/>
  <c r="O113" i="3" s="1"/>
  <c r="P113" i="3" s="1"/>
  <c r="Q113" i="3" s="1"/>
  <c r="R113" i="3" s="1"/>
  <c r="S113" i="3" s="1"/>
  <c r="T113" i="3" s="1"/>
  <c r="U113" i="3" s="1"/>
  <c r="I109" i="3"/>
  <c r="J109" i="3" s="1"/>
  <c r="K109" i="3" s="1"/>
  <c r="L109" i="3" s="1"/>
  <c r="M109" i="3" s="1"/>
  <c r="N109" i="3" s="1"/>
  <c r="O109" i="3" s="1"/>
  <c r="P109" i="3" s="1"/>
  <c r="Q109" i="3" s="1"/>
  <c r="R109" i="3" s="1"/>
  <c r="S109" i="3" s="1"/>
  <c r="T109" i="3" s="1"/>
  <c r="AD34" i="4"/>
  <c r="AD29" i="4"/>
  <c r="R32" i="4"/>
  <c r="R34" i="4" s="1"/>
  <c r="Q33" i="4"/>
  <c r="R33" i="4"/>
  <c r="D131" i="3"/>
  <c r="C131" i="3"/>
  <c r="T32" i="4"/>
  <c r="U32" i="4"/>
  <c r="U34" i="4" s="1"/>
  <c r="V32" i="4"/>
  <c r="W32" i="4"/>
  <c r="X32" i="4"/>
  <c r="Y32" i="4"/>
  <c r="Y34" i="4" s="1"/>
  <c r="Z32" i="4"/>
  <c r="Z34" i="4" s="1"/>
  <c r="AA32" i="4"/>
  <c r="AA34" i="4" s="1"/>
  <c r="AB32" i="4"/>
  <c r="AC34" i="4"/>
  <c r="S32" i="4"/>
  <c r="S34" i="4" s="1"/>
  <c r="R29" i="4"/>
  <c r="S29" i="4"/>
  <c r="T29" i="4"/>
  <c r="U29" i="4"/>
  <c r="V29" i="4"/>
  <c r="W29" i="4"/>
  <c r="X29" i="4"/>
  <c r="Y29" i="4"/>
  <c r="Z29" i="4"/>
  <c r="AA29" i="4"/>
  <c r="AB29" i="4"/>
  <c r="AC29" i="4"/>
  <c r="Q29" i="4"/>
  <c r="T34" i="4"/>
  <c r="V34" i="4"/>
  <c r="W34" i="4"/>
  <c r="X34" i="4"/>
  <c r="AB34" i="4"/>
  <c r="S31" i="4"/>
  <c r="T31" i="4"/>
  <c r="U31" i="4" s="1"/>
  <c r="V31" i="4" s="1"/>
  <c r="W31" i="4" s="1"/>
  <c r="X31" i="4" s="1"/>
  <c r="Y31" i="4" s="1"/>
  <c r="Z31" i="4" s="1"/>
  <c r="AA31" i="4" s="1"/>
  <c r="AB31" i="4" s="1"/>
  <c r="AC31" i="4" s="1"/>
  <c r="AD31" i="4" s="1"/>
  <c r="R31" i="4"/>
  <c r="S27" i="4"/>
  <c r="T27" i="4"/>
  <c r="U27" i="4"/>
  <c r="V27" i="4"/>
  <c r="W27" i="4"/>
  <c r="X27" i="4"/>
  <c r="Y27" i="4"/>
  <c r="Z27" i="4"/>
  <c r="AA27" i="4"/>
  <c r="AB27" i="4"/>
  <c r="R27" i="4"/>
  <c r="Q28" i="4"/>
  <c r="R26" i="4"/>
  <c r="S26" i="4" s="1"/>
  <c r="T26" i="4" s="1"/>
  <c r="U26" i="4" s="1"/>
  <c r="V26" i="4" s="1"/>
  <c r="W26" i="4" s="1"/>
  <c r="X26" i="4" s="1"/>
  <c r="Y26" i="4" s="1"/>
  <c r="Z26" i="4" s="1"/>
  <c r="AA26" i="4" s="1"/>
  <c r="AB26" i="4" s="1"/>
  <c r="AC26" i="4" s="1"/>
  <c r="H19" i="4"/>
  <c r="G19" i="4"/>
  <c r="M32" i="4"/>
  <c r="K32" i="4"/>
  <c r="M31" i="4"/>
  <c r="K31" i="4"/>
  <c r="M30" i="4"/>
  <c r="K30" i="4"/>
  <c r="G32" i="4"/>
  <c r="G31" i="4"/>
  <c r="F74" i="4"/>
  <c r="G74" i="4"/>
  <c r="I74" i="4"/>
  <c r="G73" i="4"/>
  <c r="H73" i="4"/>
  <c r="J73" i="4"/>
  <c r="D75" i="4"/>
  <c r="C75" i="4"/>
  <c r="C14" i="2"/>
  <c r="C16" i="2"/>
  <c r="I75" i="4"/>
  <c r="H75" i="4"/>
  <c r="F75" i="4"/>
  <c r="D71" i="4"/>
  <c r="E71" i="4" s="1"/>
  <c r="F71" i="4" s="1"/>
  <c r="G71" i="4" s="1"/>
  <c r="H71" i="4" s="1"/>
  <c r="I71" i="4" s="1"/>
  <c r="J71" i="4" s="1"/>
  <c r="J60" i="4"/>
  <c r="M55" i="3" l="1"/>
  <c r="M56" i="3" s="1"/>
  <c r="U55" i="3"/>
  <c r="U56" i="3" s="1"/>
  <c r="T115" i="3"/>
  <c r="T116" i="3" s="1"/>
  <c r="R115" i="3"/>
  <c r="R116" i="3" s="1"/>
  <c r="P115" i="3"/>
  <c r="P116" i="3" s="1"/>
  <c r="Q112" i="3"/>
  <c r="Q37" i="4"/>
  <c r="V52" i="3"/>
  <c r="S52" i="3"/>
  <c r="P52" i="3"/>
  <c r="S55" i="3"/>
  <c r="S56" i="3" s="1"/>
  <c r="L52" i="3"/>
  <c r="T52" i="3"/>
  <c r="J54" i="3"/>
  <c r="J56" i="3" s="1"/>
  <c r="Q55" i="3"/>
  <c r="Q56" i="3" s="1"/>
  <c r="M52" i="3"/>
  <c r="U52" i="3"/>
  <c r="K54" i="3"/>
  <c r="R55" i="3"/>
  <c r="R56" i="3" s="1"/>
  <c r="K55" i="3"/>
  <c r="Q34" i="4"/>
  <c r="AE34" i="4" s="1"/>
  <c r="G75" i="4"/>
  <c r="E75" i="4"/>
  <c r="E58" i="4"/>
  <c r="D58" i="4"/>
  <c r="C58" i="4"/>
  <c r="J267" i="3"/>
  <c r="J266" i="3"/>
  <c r="L260" i="3"/>
  <c r="L259" i="3"/>
  <c r="L258" i="3"/>
  <c r="K263" i="3"/>
  <c r="J263" i="3"/>
  <c r="H268" i="3"/>
  <c r="E268" i="3"/>
  <c r="E267" i="3"/>
  <c r="H267" i="3"/>
  <c r="G39" i="1"/>
  <c r="J348" i="3"/>
  <c r="I348" i="3"/>
  <c r="C34" i="1"/>
  <c r="H260" i="3"/>
  <c r="C257" i="3"/>
  <c r="C18" i="2"/>
  <c r="V116" i="3" l="1"/>
  <c r="I117" i="3"/>
  <c r="K56" i="3"/>
  <c r="K57" i="3" s="1"/>
  <c r="K58" i="3" s="1"/>
  <c r="C77" i="4"/>
  <c r="E59" i="4"/>
  <c r="C63" i="4"/>
  <c r="E54" i="4"/>
  <c r="D52" i="4"/>
  <c r="C52" i="4"/>
  <c r="J55" i="4"/>
  <c r="F61" i="4"/>
  <c r="G61" i="4"/>
  <c r="H61" i="4"/>
  <c r="I61" i="4"/>
  <c r="F60" i="4"/>
  <c r="G60" i="4"/>
  <c r="H60" i="4"/>
  <c r="I60" i="4"/>
  <c r="E60" i="4"/>
  <c r="F59" i="4"/>
  <c r="G59" i="4"/>
  <c r="H59" i="4"/>
  <c r="I59" i="4"/>
  <c r="J59" i="4"/>
  <c r="J61" i="4" s="1"/>
  <c r="E61" i="4"/>
  <c r="D61" i="4"/>
  <c r="C61" i="4"/>
  <c r="D55" i="4"/>
  <c r="E55" i="4"/>
  <c r="F55" i="4"/>
  <c r="G55" i="4"/>
  <c r="H55" i="4"/>
  <c r="I55" i="4"/>
  <c r="C55" i="4"/>
  <c r="F54" i="4"/>
  <c r="G54" i="4"/>
  <c r="H54" i="4"/>
  <c r="I54" i="4"/>
  <c r="F53" i="4"/>
  <c r="G53" i="4"/>
  <c r="H53" i="4"/>
  <c r="I53" i="4"/>
  <c r="E53" i="4"/>
  <c r="D57" i="4"/>
  <c r="E57" i="4" s="1"/>
  <c r="F57" i="4" s="1"/>
  <c r="G57" i="4" s="1"/>
  <c r="H57" i="4" s="1"/>
  <c r="I57" i="4" s="1"/>
  <c r="J57" i="4" s="1"/>
  <c r="D51" i="4"/>
  <c r="E51" i="4" s="1"/>
  <c r="F51" i="4" s="1"/>
  <c r="G51" i="4" s="1"/>
  <c r="H51" i="4" s="1"/>
  <c r="I51" i="4" s="1"/>
  <c r="D46" i="4"/>
  <c r="D45" i="4"/>
  <c r="C20" i="2"/>
  <c r="O23" i="4"/>
  <c r="P22" i="4"/>
  <c r="P21" i="4"/>
  <c r="P23" i="4" s="1"/>
  <c r="S19" i="4" s="1"/>
  <c r="S20" i="4" s="1"/>
  <c r="X56" i="3" l="1"/>
  <c r="K61" i="4"/>
  <c r="I19" i="4" l="1"/>
  <c r="K19" i="4" s="1"/>
  <c r="G28" i="4"/>
  <c r="G27" i="4"/>
  <c r="G26" i="4"/>
  <c r="K26" i="4" l="1"/>
  <c r="K27" i="4" s="1"/>
  <c r="C15" i="2"/>
  <c r="K262" i="3" l="1"/>
  <c r="J262" i="3" s="1"/>
  <c r="G234" i="3"/>
  <c r="F240" i="3" s="1"/>
  <c r="G240" i="3"/>
  <c r="D240" i="3"/>
  <c r="C240" i="3"/>
  <c r="C243" i="3" s="1"/>
  <c r="D237" i="3"/>
  <c r="C237" i="3"/>
  <c r="F235" i="3"/>
  <c r="G235" i="3"/>
  <c r="H235" i="3"/>
  <c r="I235" i="3"/>
  <c r="I241" i="3" s="1"/>
  <c r="J235" i="3"/>
  <c r="J241" i="3" s="1"/>
  <c r="K235" i="3"/>
  <c r="L235" i="3"/>
  <c r="M235" i="3"/>
  <c r="N235" i="3"/>
  <c r="E235" i="3"/>
  <c r="D241" i="3" s="1"/>
  <c r="D243" i="3" s="1"/>
  <c r="D239" i="3"/>
  <c r="E239" i="3" s="1"/>
  <c r="F239" i="3" s="1"/>
  <c r="G239" i="3" s="1"/>
  <c r="H239" i="3" s="1"/>
  <c r="I239" i="3" s="1"/>
  <c r="J239" i="3" s="1"/>
  <c r="K239" i="3" s="1"/>
  <c r="L239" i="3" s="1"/>
  <c r="M239" i="3" s="1"/>
  <c r="N239" i="3" s="1"/>
  <c r="N236" i="3"/>
  <c r="N242" i="3" s="1"/>
  <c r="M236" i="3"/>
  <c r="L236" i="3"/>
  <c r="K236" i="3"/>
  <c r="J236" i="3"/>
  <c r="I236" i="3"/>
  <c r="H236" i="3"/>
  <c r="G236" i="3"/>
  <c r="F236" i="3"/>
  <c r="F237" i="3" s="1"/>
  <c r="E236" i="3"/>
  <c r="D242" i="3" s="1"/>
  <c r="N241" i="3"/>
  <c r="N243" i="3" s="1"/>
  <c r="D233" i="3"/>
  <c r="E233" i="3" s="1"/>
  <c r="F233" i="3" s="1"/>
  <c r="G233" i="3" s="1"/>
  <c r="H233" i="3" s="1"/>
  <c r="I233" i="3" s="1"/>
  <c r="J233" i="3" s="1"/>
  <c r="K233" i="3" s="1"/>
  <c r="L233" i="3" s="1"/>
  <c r="M233" i="3" s="1"/>
  <c r="N233" i="3" s="1"/>
  <c r="C226" i="3"/>
  <c r="D224" i="3"/>
  <c r="C224" i="3"/>
  <c r="D223" i="3"/>
  <c r="E223" i="3" s="1"/>
  <c r="F223" i="3" s="1"/>
  <c r="G223" i="3" s="1"/>
  <c r="H223" i="3" s="1"/>
  <c r="I223" i="3" s="1"/>
  <c r="J223" i="3" s="1"/>
  <c r="K223" i="3" s="1"/>
  <c r="L223" i="3" s="1"/>
  <c r="M223" i="3" s="1"/>
  <c r="N223" i="3" s="1"/>
  <c r="D221" i="3"/>
  <c r="C221" i="3"/>
  <c r="E220" i="3"/>
  <c r="D227" i="3" s="1"/>
  <c r="F220" i="3"/>
  <c r="G220" i="3"/>
  <c r="F227" i="3" s="1"/>
  <c r="H220" i="3"/>
  <c r="I220" i="3"/>
  <c r="J220" i="3"/>
  <c r="K220" i="3"/>
  <c r="L220" i="3"/>
  <c r="M220" i="3"/>
  <c r="M227" i="3" s="1"/>
  <c r="N220" i="3"/>
  <c r="N227" i="3" s="1"/>
  <c r="E218" i="3"/>
  <c r="F218" i="3"/>
  <c r="G218" i="3"/>
  <c r="H218" i="3"/>
  <c r="I218" i="3"/>
  <c r="J218" i="3"/>
  <c r="J221" i="3" s="1"/>
  <c r="K218" i="3"/>
  <c r="K225" i="3" s="1"/>
  <c r="L218" i="3"/>
  <c r="M218" i="3"/>
  <c r="L225" i="3" s="1"/>
  <c r="N218" i="3"/>
  <c r="N225" i="3" s="1"/>
  <c r="C340" i="3"/>
  <c r="F339" i="3" s="1"/>
  <c r="I343" i="3" s="1"/>
  <c r="C324" i="3"/>
  <c r="C326" i="3" s="1"/>
  <c r="C327" i="3" s="1"/>
  <c r="C308" i="3"/>
  <c r="F307" i="3" s="1"/>
  <c r="C293" i="3"/>
  <c r="F294" i="3" s="1"/>
  <c r="H294" i="3" s="1"/>
  <c r="F30" i="1"/>
  <c r="C285" i="3"/>
  <c r="G284" i="3" s="1"/>
  <c r="G11" i="2"/>
  <c r="C140" i="3"/>
  <c r="D216" i="3"/>
  <c r="E216" i="3" s="1"/>
  <c r="F216" i="3" s="1"/>
  <c r="G216" i="3" s="1"/>
  <c r="H216" i="3" s="1"/>
  <c r="I216" i="3" s="1"/>
  <c r="J216" i="3" s="1"/>
  <c r="K216" i="3" s="1"/>
  <c r="L216" i="3" s="1"/>
  <c r="M216" i="3" s="1"/>
  <c r="N216" i="3" s="1"/>
  <c r="K227" i="3" l="1"/>
  <c r="G225" i="3"/>
  <c r="N228" i="3"/>
  <c r="H242" i="3"/>
  <c r="H241" i="3"/>
  <c r="H243" i="3" s="1"/>
  <c r="I227" i="3"/>
  <c r="J242" i="3"/>
  <c r="J243" i="3" s="1"/>
  <c r="L227" i="3"/>
  <c r="J227" i="3"/>
  <c r="K221" i="3"/>
  <c r="M237" i="3"/>
  <c r="L221" i="3"/>
  <c r="F225" i="3"/>
  <c r="F228" i="3" s="1"/>
  <c r="H227" i="3"/>
  <c r="J225" i="3"/>
  <c r="J228" i="3" s="1"/>
  <c r="K237" i="3"/>
  <c r="K228" i="3"/>
  <c r="I225" i="3"/>
  <c r="I228" i="3" s="1"/>
  <c r="H225" i="3"/>
  <c r="G241" i="3"/>
  <c r="G243" i="3" s="1"/>
  <c r="E221" i="3"/>
  <c r="C228" i="3"/>
  <c r="E227" i="3"/>
  <c r="I237" i="3"/>
  <c r="L228" i="3"/>
  <c r="D228" i="3"/>
  <c r="I221" i="3"/>
  <c r="H221" i="3"/>
  <c r="E225" i="3"/>
  <c r="H237" i="3"/>
  <c r="G221" i="3"/>
  <c r="D225" i="3"/>
  <c r="K241" i="3"/>
  <c r="K243" i="3" s="1"/>
  <c r="J237" i="3"/>
  <c r="N221" i="3"/>
  <c r="F221" i="3"/>
  <c r="K242" i="3"/>
  <c r="N237" i="3"/>
  <c r="M221" i="3"/>
  <c r="M225" i="3"/>
  <c r="M228" i="3" s="1"/>
  <c r="L242" i="3"/>
  <c r="G227" i="3"/>
  <c r="G228" i="3" s="1"/>
  <c r="F242" i="3"/>
  <c r="L241" i="3"/>
  <c r="L243" i="3" s="1"/>
  <c r="F241" i="3"/>
  <c r="F243" i="3" s="1"/>
  <c r="E242" i="3"/>
  <c r="M242" i="3"/>
  <c r="L237" i="3"/>
  <c r="G242" i="3"/>
  <c r="E237" i="3"/>
  <c r="E241" i="3"/>
  <c r="E243" i="3" s="1"/>
  <c r="M241" i="3"/>
  <c r="I242" i="3"/>
  <c r="I243" i="3" s="1"/>
  <c r="G237" i="3"/>
  <c r="I345" i="3"/>
  <c r="F325" i="3"/>
  <c r="G319" i="3"/>
  <c r="I344" i="3"/>
  <c r="I342" i="3"/>
  <c r="I339" i="3"/>
  <c r="J339" i="3" s="1"/>
  <c r="I341" i="3"/>
  <c r="I340" i="3"/>
  <c r="H339" i="3"/>
  <c r="I346" i="3"/>
  <c r="I308" i="3"/>
  <c r="I309" i="3"/>
  <c r="I310" i="3"/>
  <c r="I311" i="3"/>
  <c r="I312" i="3"/>
  <c r="I313" i="3"/>
  <c r="H307" i="3"/>
  <c r="I314" i="3"/>
  <c r="I307" i="3"/>
  <c r="J307" i="3" s="1"/>
  <c r="J308" i="3" s="1"/>
  <c r="G288" i="3"/>
  <c r="H288" i="3" s="1"/>
  <c r="AA193" i="3"/>
  <c r="D194" i="3"/>
  <c r="C193" i="3"/>
  <c r="C194" i="3" s="1"/>
  <c r="AA191" i="3"/>
  <c r="Z191" i="3"/>
  <c r="Z194" i="3" s="1"/>
  <c r="Y191" i="3"/>
  <c r="Y194" i="3" s="1"/>
  <c r="X191" i="3"/>
  <c r="X194" i="3" s="1"/>
  <c r="W191" i="3"/>
  <c r="W194" i="3" s="1"/>
  <c r="V191" i="3"/>
  <c r="V194" i="3" s="1"/>
  <c r="U191" i="3"/>
  <c r="U194" i="3" s="1"/>
  <c r="T191" i="3"/>
  <c r="T194" i="3" s="1"/>
  <c r="S191" i="3"/>
  <c r="S194" i="3" s="1"/>
  <c r="R191" i="3"/>
  <c r="R194" i="3" s="1"/>
  <c r="Q191" i="3"/>
  <c r="Q194" i="3" s="1"/>
  <c r="P191" i="3"/>
  <c r="P194" i="3" s="1"/>
  <c r="O191" i="3"/>
  <c r="O194" i="3" s="1"/>
  <c r="N191" i="3"/>
  <c r="N194" i="3" s="1"/>
  <c r="M191" i="3"/>
  <c r="M194" i="3" s="1"/>
  <c r="L191" i="3"/>
  <c r="L194" i="3" s="1"/>
  <c r="K191" i="3"/>
  <c r="K194" i="3" s="1"/>
  <c r="J191" i="3"/>
  <c r="J194" i="3" s="1"/>
  <c r="I191" i="3"/>
  <c r="I194" i="3" s="1"/>
  <c r="H191" i="3"/>
  <c r="H194" i="3" s="1"/>
  <c r="G191" i="3"/>
  <c r="G194" i="3" s="1"/>
  <c r="F191" i="3"/>
  <c r="F194" i="3" s="1"/>
  <c r="E191" i="3"/>
  <c r="E194" i="3" s="1"/>
  <c r="E189" i="3"/>
  <c r="F189" i="3" s="1"/>
  <c r="G189" i="3" s="1"/>
  <c r="H189" i="3" s="1"/>
  <c r="I189" i="3" s="1"/>
  <c r="J189" i="3" s="1"/>
  <c r="K189" i="3" s="1"/>
  <c r="L189" i="3" s="1"/>
  <c r="M189" i="3" s="1"/>
  <c r="N189" i="3" s="1"/>
  <c r="O189" i="3" s="1"/>
  <c r="P189" i="3" s="1"/>
  <c r="Q189" i="3" s="1"/>
  <c r="R189" i="3" s="1"/>
  <c r="S189" i="3" s="1"/>
  <c r="T189" i="3" s="1"/>
  <c r="U189" i="3" s="1"/>
  <c r="V189" i="3" s="1"/>
  <c r="W189" i="3" s="1"/>
  <c r="X189" i="3" s="1"/>
  <c r="Y189" i="3" s="1"/>
  <c r="Z189" i="3" s="1"/>
  <c r="AA189" i="3" s="1"/>
  <c r="D184" i="3"/>
  <c r="C184" i="3"/>
  <c r="F183" i="3"/>
  <c r="F184" i="3" s="1"/>
  <c r="G183" i="3"/>
  <c r="G184" i="3" s="1"/>
  <c r="H183" i="3"/>
  <c r="H184" i="3" s="1"/>
  <c r="I183" i="3"/>
  <c r="I184" i="3" s="1"/>
  <c r="J183" i="3"/>
  <c r="J184" i="3" s="1"/>
  <c r="K183" i="3"/>
  <c r="K184" i="3" s="1"/>
  <c r="L183" i="3"/>
  <c r="L184" i="3" s="1"/>
  <c r="M183" i="3"/>
  <c r="M184" i="3" s="1"/>
  <c r="N183" i="3"/>
  <c r="N184" i="3" s="1"/>
  <c r="O183" i="3"/>
  <c r="O184" i="3" s="1"/>
  <c r="P183" i="3"/>
  <c r="P184" i="3" s="1"/>
  <c r="Q183" i="3"/>
  <c r="Q184" i="3" s="1"/>
  <c r="R183" i="3"/>
  <c r="R184" i="3" s="1"/>
  <c r="S183" i="3"/>
  <c r="S184" i="3" s="1"/>
  <c r="T183" i="3"/>
  <c r="T184" i="3" s="1"/>
  <c r="U183" i="3"/>
  <c r="U184" i="3" s="1"/>
  <c r="V183" i="3"/>
  <c r="V184" i="3" s="1"/>
  <c r="W183" i="3"/>
  <c r="W184" i="3" s="1"/>
  <c r="X183" i="3"/>
  <c r="X184" i="3" s="1"/>
  <c r="Y183" i="3"/>
  <c r="Y184" i="3" s="1"/>
  <c r="Z183" i="3"/>
  <c r="Z184" i="3" s="1"/>
  <c r="AA183" i="3"/>
  <c r="AA184" i="3" s="1"/>
  <c r="E183" i="3"/>
  <c r="E184" i="3" s="1"/>
  <c r="E181" i="3"/>
  <c r="F181" i="3" s="1"/>
  <c r="G181" i="3" s="1"/>
  <c r="H181" i="3" s="1"/>
  <c r="I181" i="3" s="1"/>
  <c r="J181" i="3" s="1"/>
  <c r="K181" i="3" s="1"/>
  <c r="L181" i="3" s="1"/>
  <c r="M181" i="3" s="1"/>
  <c r="N181" i="3" s="1"/>
  <c r="O181" i="3" s="1"/>
  <c r="P181" i="3" s="1"/>
  <c r="Q181" i="3" s="1"/>
  <c r="R181" i="3" s="1"/>
  <c r="S181" i="3" s="1"/>
  <c r="T181" i="3" s="1"/>
  <c r="U181" i="3" s="1"/>
  <c r="V181" i="3" s="1"/>
  <c r="W181" i="3" s="1"/>
  <c r="X181" i="3" s="1"/>
  <c r="Y181" i="3" s="1"/>
  <c r="Z181" i="3" s="1"/>
  <c r="AA181" i="3" s="1"/>
  <c r="D169" i="3"/>
  <c r="F169" i="3" s="1"/>
  <c r="F22" i="3"/>
  <c r="J25" i="3" s="1"/>
  <c r="C138" i="3"/>
  <c r="C141" i="3" s="1"/>
  <c r="H137" i="3"/>
  <c r="H138" i="3" s="1"/>
  <c r="F137" i="3"/>
  <c r="G137" i="3"/>
  <c r="E137" i="3"/>
  <c r="D138" i="3" s="1"/>
  <c r="E30" i="1"/>
  <c r="K144" i="3"/>
  <c r="N144" i="3" s="1"/>
  <c r="O144" i="3" s="1"/>
  <c r="E130" i="3"/>
  <c r="I121" i="3"/>
  <c r="F110" i="3"/>
  <c r="F111" i="3" s="1"/>
  <c r="F112" i="3" s="1"/>
  <c r="M243" i="3" l="1"/>
  <c r="D245" i="3" s="1"/>
  <c r="E248" i="3" s="1"/>
  <c r="I122" i="3"/>
  <c r="I123" i="3" s="1"/>
  <c r="I125" i="3" s="1"/>
  <c r="J125" i="3" s="1"/>
  <c r="I126" i="3" s="1"/>
  <c r="J126" i="3" s="1"/>
  <c r="O237" i="3"/>
  <c r="H228" i="3"/>
  <c r="O228" i="3" s="1"/>
  <c r="O221" i="3"/>
  <c r="E228" i="3"/>
  <c r="D230" i="3" s="1"/>
  <c r="E247" i="3" s="1"/>
  <c r="J340" i="3"/>
  <c r="F341" i="3" s="1"/>
  <c r="H341" i="3" s="1"/>
  <c r="G341" i="3" s="1"/>
  <c r="G307" i="3"/>
  <c r="G339" i="3"/>
  <c r="F340" i="3"/>
  <c r="H340" i="3" s="1"/>
  <c r="G340" i="3" s="1"/>
  <c r="G327" i="3"/>
  <c r="G328" i="3"/>
  <c r="G329" i="3"/>
  <c r="G325" i="3"/>
  <c r="G326" i="3"/>
  <c r="H325" i="3"/>
  <c r="J309" i="3"/>
  <c r="J310" i="3" s="1"/>
  <c r="J311" i="3" s="1"/>
  <c r="J312" i="3" s="1"/>
  <c r="J313" i="3" s="1"/>
  <c r="J314" i="3" s="1"/>
  <c r="G294" i="3"/>
  <c r="I294" i="3" s="1"/>
  <c r="J294" i="3" s="1"/>
  <c r="F295" i="3" s="1"/>
  <c r="F308" i="3"/>
  <c r="H308" i="3" s="1"/>
  <c r="G308" i="3" s="1"/>
  <c r="AA194" i="3"/>
  <c r="C196" i="3" s="1"/>
  <c r="D197" i="3" s="1"/>
  <c r="C197" i="3" s="1"/>
  <c r="M169" i="3"/>
  <c r="C186" i="3"/>
  <c r="D187" i="3" s="1"/>
  <c r="C187" i="3" s="1"/>
  <c r="L169" i="3"/>
  <c r="K169" i="3"/>
  <c r="J169" i="3"/>
  <c r="O169" i="3"/>
  <c r="G169" i="3"/>
  <c r="I169" i="3"/>
  <c r="E169" i="3"/>
  <c r="H169" i="3"/>
  <c r="N169" i="3"/>
  <c r="F138" i="3"/>
  <c r="N147" i="3"/>
  <c r="G138" i="3"/>
  <c r="E138" i="3"/>
  <c r="N148" i="3"/>
  <c r="N145" i="3"/>
  <c r="O145" i="3" s="1"/>
  <c r="K146" i="3" s="1"/>
  <c r="M146" i="3" s="1"/>
  <c r="K145" i="3"/>
  <c r="M145" i="3" s="1"/>
  <c r="N146" i="3"/>
  <c r="M144" i="3"/>
  <c r="L144" i="3" s="1"/>
  <c r="D136" i="3" s="1"/>
  <c r="F130" i="3"/>
  <c r="F73" i="1"/>
  <c r="F74" i="1"/>
  <c r="F75" i="1"/>
  <c r="F81" i="1" s="1"/>
  <c r="F76" i="1"/>
  <c r="F77" i="1"/>
  <c r="F78" i="1"/>
  <c r="F79" i="1"/>
  <c r="F72" i="1"/>
  <c r="G72" i="1" s="1"/>
  <c r="D30" i="1"/>
  <c r="E72" i="1"/>
  <c r="E51" i="1"/>
  <c r="E9" i="1"/>
  <c r="D47" i="1"/>
  <c r="D54" i="1" s="1"/>
  <c r="G30" i="1"/>
  <c r="F31" i="1"/>
  <c r="F32" i="1"/>
  <c r="F33" i="1"/>
  <c r="F34" i="1"/>
  <c r="F35" i="1"/>
  <c r="D5" i="1"/>
  <c r="D9" i="1" s="1"/>
  <c r="C51" i="2"/>
  <c r="C49" i="2"/>
  <c r="G61" i="3"/>
  <c r="E60" i="3"/>
  <c r="E62" i="3" s="1"/>
  <c r="F60" i="3"/>
  <c r="F62" i="3" s="1"/>
  <c r="G60" i="3"/>
  <c r="D60" i="3"/>
  <c r="C60" i="3"/>
  <c r="J44" i="3"/>
  <c r="I44" i="3" s="1"/>
  <c r="O243" i="3" l="1"/>
  <c r="J341" i="3"/>
  <c r="J342" i="3" s="1"/>
  <c r="F343" i="3" s="1"/>
  <c r="I325" i="3"/>
  <c r="J325" i="3" s="1"/>
  <c r="F326" i="3" s="1"/>
  <c r="H326" i="3" s="1"/>
  <c r="I326" i="3" s="1"/>
  <c r="J326" i="3" s="1"/>
  <c r="F309" i="3"/>
  <c r="H309" i="3" s="1"/>
  <c r="G309" i="3" s="1"/>
  <c r="C171" i="3"/>
  <c r="D172" i="3" s="1"/>
  <c r="C172" i="3" s="1"/>
  <c r="L145" i="3"/>
  <c r="E136" i="3" s="1"/>
  <c r="E140" i="3" s="1"/>
  <c r="L146" i="3"/>
  <c r="F136" i="3" s="1"/>
  <c r="F140" i="3" s="1"/>
  <c r="D141" i="3"/>
  <c r="D140" i="3"/>
  <c r="O146" i="3"/>
  <c r="G130" i="3"/>
  <c r="F131" i="3" s="1"/>
  <c r="E131" i="3"/>
  <c r="C73" i="1"/>
  <c r="E73" i="1" s="1"/>
  <c r="D73" i="1" s="1"/>
  <c r="G73" i="1"/>
  <c r="D51" i="1"/>
  <c r="F51" i="1" s="1"/>
  <c r="D14" i="1"/>
  <c r="D53" i="1"/>
  <c r="D72" i="1"/>
  <c r="C31" i="1"/>
  <c r="E31" i="1" s="1"/>
  <c r="D31" i="1" s="1"/>
  <c r="G31" i="1"/>
  <c r="C32" i="1" s="1"/>
  <c r="E32" i="1" s="1"/>
  <c r="F9" i="1"/>
  <c r="D13" i="1"/>
  <c r="D52" i="1"/>
  <c r="D12" i="1"/>
  <c r="D11" i="1"/>
  <c r="D10" i="1"/>
  <c r="D16" i="1" s="1"/>
  <c r="D57" i="1"/>
  <c r="F37" i="1"/>
  <c r="D58" i="1"/>
  <c r="D56" i="1"/>
  <c r="D55" i="1"/>
  <c r="G32" i="1"/>
  <c r="D32" i="1"/>
  <c r="G62" i="3"/>
  <c r="D62" i="3"/>
  <c r="C62" i="3"/>
  <c r="J46" i="3"/>
  <c r="I46" i="3" s="1"/>
  <c r="J45" i="3"/>
  <c r="I45" i="3" s="1"/>
  <c r="C49" i="3"/>
  <c r="C19" i="3"/>
  <c r="C24" i="3"/>
  <c r="G24" i="3" s="1"/>
  <c r="G25" i="3" s="1"/>
  <c r="C25" i="3" s="1"/>
  <c r="J26" i="3" s="1"/>
  <c r="J15" i="3"/>
  <c r="J47" i="2"/>
  <c r="F47" i="2"/>
  <c r="G47" i="2" s="1"/>
  <c r="H47" i="2" s="1"/>
  <c r="I47" i="2" s="1"/>
  <c r="E47" i="2"/>
  <c r="D47" i="2"/>
  <c r="L36" i="2"/>
  <c r="L37" i="2"/>
  <c r="L32" i="2"/>
  <c r="L31" i="2"/>
  <c r="G16" i="2"/>
  <c r="F16" i="2"/>
  <c r="E16" i="2"/>
  <c r="D16" i="2"/>
  <c r="D46" i="2"/>
  <c r="E38" i="2"/>
  <c r="F38" i="2"/>
  <c r="G38" i="2"/>
  <c r="H38" i="2"/>
  <c r="I38" i="2"/>
  <c r="J38" i="2"/>
  <c r="D38" i="2"/>
  <c r="F36" i="2"/>
  <c r="E36" i="2"/>
  <c r="D36" i="2"/>
  <c r="F342" i="3" l="1"/>
  <c r="H342" i="3" s="1"/>
  <c r="G342" i="3" s="1"/>
  <c r="F327" i="3"/>
  <c r="H327" i="3" s="1"/>
  <c r="I327" i="3" s="1"/>
  <c r="J327" i="3" s="1"/>
  <c r="F328" i="3" s="1"/>
  <c r="H328" i="3" s="1"/>
  <c r="I328" i="3" s="1"/>
  <c r="J328" i="3" s="1"/>
  <c r="F329" i="3" s="1"/>
  <c r="H329" i="3" s="1"/>
  <c r="I329" i="3" s="1"/>
  <c r="J329" i="3" s="1"/>
  <c r="H343" i="3"/>
  <c r="G343" i="3" s="1"/>
  <c r="J343" i="3"/>
  <c r="F344" i="3" s="1"/>
  <c r="H344" i="3" s="1"/>
  <c r="F310" i="3"/>
  <c r="H310" i="3" s="1"/>
  <c r="G310" i="3" s="1"/>
  <c r="C73" i="3"/>
  <c r="C74" i="3" s="1"/>
  <c r="E141" i="3"/>
  <c r="G16" i="3"/>
  <c r="J18" i="3" s="1"/>
  <c r="G17" i="3" s="1"/>
  <c r="J19" i="3" s="1"/>
  <c r="J24" i="3" s="1"/>
  <c r="F141" i="3"/>
  <c r="O147" i="3"/>
  <c r="K147" i="3"/>
  <c r="M147" i="3" s="1"/>
  <c r="L147" i="3" s="1"/>
  <c r="G136" i="3" s="1"/>
  <c r="H130" i="3"/>
  <c r="H131" i="3" s="1"/>
  <c r="C74" i="1"/>
  <c r="E74" i="1" s="1"/>
  <c r="D74" i="1" s="1"/>
  <c r="G74" i="1"/>
  <c r="D60" i="1"/>
  <c r="G9" i="1"/>
  <c r="C10" i="1" s="1"/>
  <c r="E10" i="1" s="1"/>
  <c r="C33" i="1"/>
  <c r="E33" i="1" s="1"/>
  <c r="G33" i="1"/>
  <c r="C64" i="3"/>
  <c r="D67" i="3" s="1"/>
  <c r="H50" i="3"/>
  <c r="G49" i="3"/>
  <c r="G50" i="3" s="1"/>
  <c r="H51" i="3" s="1"/>
  <c r="G51" i="3" s="1"/>
  <c r="C50" i="2"/>
  <c r="D11" i="2"/>
  <c r="E11" i="2"/>
  <c r="F11" i="2"/>
  <c r="C11" i="2"/>
  <c r="D15" i="2"/>
  <c r="E15" i="2"/>
  <c r="F15" i="2"/>
  <c r="G15" i="2"/>
  <c r="D14" i="2"/>
  <c r="E14" i="2"/>
  <c r="F14" i="2"/>
  <c r="G14" i="2"/>
  <c r="E44" i="2"/>
  <c r="F44" i="2"/>
  <c r="F46" i="2" s="1"/>
  <c r="G36" i="2"/>
  <c r="G44" i="2" s="1"/>
  <c r="G46" i="2" s="1"/>
  <c r="H36" i="2"/>
  <c r="H44" i="2" s="1"/>
  <c r="H46" i="2" s="1"/>
  <c r="I36" i="2"/>
  <c r="I44" i="2" s="1"/>
  <c r="I46" i="2" s="1"/>
  <c r="J36" i="2"/>
  <c r="J44" i="2" s="1"/>
  <c r="J46" i="2" s="1"/>
  <c r="F37" i="2"/>
  <c r="F45" i="2" s="1"/>
  <c r="G37" i="2"/>
  <c r="G45" i="2" s="1"/>
  <c r="H37" i="2"/>
  <c r="H45" i="2" s="1"/>
  <c r="I37" i="2"/>
  <c r="I45" i="2" s="1"/>
  <c r="J37" i="2"/>
  <c r="J45" i="2" s="1"/>
  <c r="E37" i="2"/>
  <c r="E45" i="2" s="1"/>
  <c r="D37" i="2"/>
  <c r="D45" i="2" s="1"/>
  <c r="J344" i="3" l="1"/>
  <c r="F345" i="3" s="1"/>
  <c r="H345" i="3" s="1"/>
  <c r="G344" i="3"/>
  <c r="F311" i="3"/>
  <c r="H311" i="3" s="1"/>
  <c r="G311" i="3" s="1"/>
  <c r="D68" i="3"/>
  <c r="D69" i="3" s="1"/>
  <c r="G140" i="3"/>
  <c r="O148" i="3"/>
  <c r="K148" i="3"/>
  <c r="M148" i="3" s="1"/>
  <c r="L148" i="3" s="1"/>
  <c r="H136" i="3" s="1"/>
  <c r="G131" i="3"/>
  <c r="G141" i="3" s="1"/>
  <c r="G75" i="1"/>
  <c r="C75" i="1"/>
  <c r="E75" i="1" s="1"/>
  <c r="D75" i="1" s="1"/>
  <c r="F10" i="1"/>
  <c r="G51" i="1"/>
  <c r="G34" i="1"/>
  <c r="E34" i="1"/>
  <c r="D34" i="1" s="1"/>
  <c r="D33" i="1"/>
  <c r="C67" i="3"/>
  <c r="E67" i="3"/>
  <c r="G68" i="3"/>
  <c r="E68" i="3"/>
  <c r="C68" i="3"/>
  <c r="F67" i="3"/>
  <c r="F68" i="3"/>
  <c r="G67" i="3"/>
  <c r="E46" i="2"/>
  <c r="G345" i="3" l="1"/>
  <c r="J345" i="3"/>
  <c r="F346" i="3" s="1"/>
  <c r="H346" i="3" s="1"/>
  <c r="F312" i="3"/>
  <c r="H312" i="3" s="1"/>
  <c r="G312" i="3" s="1"/>
  <c r="E69" i="3"/>
  <c r="H140" i="3"/>
  <c r="I140" i="3" s="1"/>
  <c r="H141" i="3"/>
  <c r="C144" i="3" s="1"/>
  <c r="H71" i="3"/>
  <c r="G69" i="3"/>
  <c r="C69" i="3"/>
  <c r="G76" i="1"/>
  <c r="C76" i="1"/>
  <c r="E76" i="1" s="1"/>
  <c r="G10" i="1"/>
  <c r="C11" i="1" s="1"/>
  <c r="E11" i="1" s="1"/>
  <c r="C52" i="1"/>
  <c r="E52" i="1" s="1"/>
  <c r="C35" i="1"/>
  <c r="E35" i="1" s="1"/>
  <c r="G35" i="1"/>
  <c r="H68" i="3"/>
  <c r="H72" i="3"/>
  <c r="F69" i="3"/>
  <c r="H67" i="3"/>
  <c r="J346" i="3" l="1"/>
  <c r="G346" i="3"/>
  <c r="F313" i="3"/>
  <c r="H313" i="3" s="1"/>
  <c r="G313" i="3" s="1"/>
  <c r="C143" i="3"/>
  <c r="I141" i="3"/>
  <c r="C72" i="3"/>
  <c r="C71" i="3"/>
  <c r="D76" i="1"/>
  <c r="G77" i="1"/>
  <c r="C77" i="1"/>
  <c r="E77" i="1" s="1"/>
  <c r="D77" i="1" s="1"/>
  <c r="F52" i="1"/>
  <c r="F11" i="1"/>
  <c r="D35" i="1"/>
  <c r="D37" i="1" s="1"/>
  <c r="E37" i="1"/>
  <c r="F314" i="3" l="1"/>
  <c r="H314" i="3" s="1"/>
  <c r="G314" i="3" s="1"/>
  <c r="C78" i="1"/>
  <c r="E78" i="1" s="1"/>
  <c r="D78" i="1" s="1"/>
  <c r="G78" i="1"/>
  <c r="G11" i="1"/>
  <c r="G52" i="1"/>
  <c r="C79" i="1" l="1"/>
  <c r="E79" i="1" s="1"/>
  <c r="G79" i="1"/>
  <c r="C12" i="1"/>
  <c r="E12" i="1" s="1"/>
  <c r="C53" i="1"/>
  <c r="E53" i="1" s="1"/>
  <c r="D79" i="1" l="1"/>
  <c r="D81" i="1" s="1"/>
  <c r="E81" i="1"/>
  <c r="F12" i="1"/>
  <c r="F53" i="1"/>
  <c r="G53" i="1" l="1"/>
  <c r="C54" i="1" s="1"/>
  <c r="E54" i="1" s="1"/>
  <c r="G12" i="1"/>
  <c r="F54" i="1" l="1"/>
  <c r="G18" i="1"/>
  <c r="C13" i="1"/>
  <c r="E13" i="1" s="1"/>
  <c r="F13" i="1" s="1"/>
  <c r="G13" i="1" l="1"/>
  <c r="G54" i="1"/>
  <c r="C55" i="1" s="1"/>
  <c r="E55" i="1" s="1"/>
  <c r="F55" i="1" s="1"/>
  <c r="G55" i="1" s="1"/>
  <c r="C56" i="1" s="1"/>
  <c r="E56" i="1" s="1"/>
  <c r="F56" i="1" s="1"/>
  <c r="G56" i="1" s="1"/>
  <c r="C57" i="1" s="1"/>
  <c r="E57" i="1" s="1"/>
  <c r="F57" i="1" s="1"/>
  <c r="G57" i="1" s="1"/>
  <c r="C58" i="1" s="1"/>
  <c r="E58" i="1" s="1"/>
  <c r="C14" i="1" l="1"/>
  <c r="E14" i="1" s="1"/>
  <c r="F58" i="1"/>
  <c r="G58" i="1" s="1"/>
  <c r="E60" i="1"/>
  <c r="F14" i="1" l="1"/>
  <c r="E16" i="1"/>
  <c r="F60" i="1"/>
  <c r="F16" i="1" l="1"/>
  <c r="G14" i="1"/>
  <c r="H295" i="3" l="1"/>
  <c r="G295" i="3"/>
  <c r="G296" i="3"/>
  <c r="G301" i="3"/>
  <c r="G297" i="3"/>
  <c r="G298" i="3"/>
  <c r="G299" i="3"/>
  <c r="G300" i="3"/>
  <c r="I295" i="3" l="1"/>
  <c r="J295" i="3" s="1"/>
  <c r="F296" i="3" s="1"/>
  <c r="H296" i="3" s="1"/>
  <c r="I296" i="3" s="1"/>
  <c r="J296" i="3" s="1"/>
  <c r="F297" i="3" s="1"/>
  <c r="H297" i="3" l="1"/>
  <c r="I297" i="3" s="1"/>
  <c r="J297" i="3" s="1"/>
  <c r="F298" i="3" s="1"/>
  <c r="H298" i="3" l="1"/>
  <c r="I298" i="3" s="1"/>
  <c r="J298" i="3" s="1"/>
  <c r="F299" i="3" s="1"/>
  <c r="H299" i="3" l="1"/>
  <c r="I299" i="3" s="1"/>
  <c r="J299" i="3" s="1"/>
  <c r="F300" i="3" s="1"/>
  <c r="H300" i="3" l="1"/>
  <c r="I300" i="3" s="1"/>
  <c r="J300" i="3" s="1"/>
  <c r="F301" i="3" l="1"/>
  <c r="H301" i="3" s="1"/>
  <c r="I301" i="3" s="1"/>
  <c r="J301" i="3" s="1"/>
</calcChain>
</file>

<file path=xl/sharedStrings.xml><?xml version="1.0" encoding="utf-8"?>
<sst xmlns="http://schemas.openxmlformats.org/spreadsheetml/2006/main" count="603" uniqueCount="326">
  <si>
    <t>Tasa de Interés:</t>
  </si>
  <si>
    <t>Período</t>
  </si>
  <si>
    <t>Deuda al Inicio del Período (Vp)</t>
  </si>
  <si>
    <t>Valor Cuota (C)</t>
  </si>
  <si>
    <t>Interés del Período Sobre el Saldo (Ip)</t>
  </si>
  <si>
    <t>Amortización real del Período (Ap)</t>
  </si>
  <si>
    <t>Tot. Amort. hasta el Período (Ap)</t>
  </si>
  <si>
    <t>34)</t>
  </si>
  <si>
    <t>TOTAL</t>
  </si>
  <si>
    <t>Total a abonar en la 4ta cuota para cancelar</t>
  </si>
  <si>
    <t>35)</t>
  </si>
  <si>
    <t>36)</t>
  </si>
  <si>
    <t xml:space="preserve">Cuota 4: </t>
  </si>
  <si>
    <t xml:space="preserve">Amortización: $9.709,09 </t>
  </si>
  <si>
    <t>37)</t>
  </si>
  <si>
    <t xml:space="preserve">Amortización: $10.625,00 </t>
  </si>
  <si>
    <t>Total amortizado: $ 63.750,00.</t>
  </si>
  <si>
    <t>Se le pide colaborar en la decisión sobre avanzar o no en un proceso de inversión. Realice los cálculos que crea conveniente y a) justifique su respuesta con el análisis del VAN y de la TIR. Las tasas vigentes en el mercado para el monto de inversión a realizar y los plazos de financiamiento contemplados son del 10, 12, 14, 16, 18 y 20%</t>
  </si>
  <si>
    <t>38)</t>
  </si>
  <si>
    <t>Egresos</t>
  </si>
  <si>
    <t>Ingresos</t>
  </si>
  <si>
    <t>Momento 0</t>
  </si>
  <si>
    <t>Momento 1</t>
  </si>
  <si>
    <t>Momento 2</t>
  </si>
  <si>
    <t>Momento 3</t>
  </si>
  <si>
    <t>Momento 4</t>
  </si>
  <si>
    <t>Se le ofrece a un inversor potencial la posibilidad de adquirir una planta de tratamiento de residuos patológicos en funcionamiento. Usted, a partir de la aplicación de los indicadores VAN y TIR, deberá aconsejarlo sobre la conveniencia de avanzar o no con tal inversión, sabiendo que las tasas vigentes en el mercado para montos y plazos de financiación similares varían entre el 12 y el 18% anual. Se sabe que debería abonar $120.000 para su adquisición y que los ingresos y egresos periódicos en virtud de su operación serán los expuestos a continuación:</t>
  </si>
  <si>
    <t>39)</t>
  </si>
  <si>
    <t>Periodo 1</t>
  </si>
  <si>
    <t>Periodo 2</t>
  </si>
  <si>
    <t xml:space="preserve">Periodo 3 </t>
  </si>
  <si>
    <t xml:space="preserve">Periodo 4 </t>
  </si>
  <si>
    <t>Periodo 5</t>
  </si>
  <si>
    <t>Periodo 6</t>
  </si>
  <si>
    <t>Tiago y Felipe, cada uno por su cuenta, analizan un mismo proyecto. A continuación, se muestran los resultados del VAN para cada uno, en distintas situaciones:</t>
  </si>
  <si>
    <t>40)</t>
  </si>
  <si>
    <t>Situacion 1</t>
  </si>
  <si>
    <t>Situacion 2</t>
  </si>
  <si>
    <t>Situacion 3</t>
  </si>
  <si>
    <t>VAN (Tiago)</t>
  </si>
  <si>
    <t>VAN (Felipe)</t>
  </si>
  <si>
    <t>Informacion extra</t>
  </si>
  <si>
    <t>COK Tiago = 35% anual</t>
  </si>
  <si>
    <t>COK Felipe = 30% anual</t>
  </si>
  <si>
    <t>TIR proyecto = 20% anual</t>
  </si>
  <si>
    <t>Intente establecer (sin cálculos) para cada situación diferente, el valor o rango en el que se encuentra el COK de cada sujeto y la TIR del proyecto, con ayuda de la información dada en cada caso. Justifique y explique cuál será la decisión esperada en cada caso.</t>
  </si>
  <si>
    <t>Momento 5</t>
  </si>
  <si>
    <t>Momento 6</t>
  </si>
  <si>
    <t>Compra</t>
  </si>
  <si>
    <t>inversion</t>
  </si>
  <si>
    <t>FF</t>
  </si>
  <si>
    <t>FF (flujos de fondo)</t>
  </si>
  <si>
    <t>Egresos Actualizados</t>
  </si>
  <si>
    <t>Ingresos Actualizados</t>
  </si>
  <si>
    <t>COK</t>
  </si>
  <si>
    <t>Momento</t>
  </si>
  <si>
    <t>FF actualizados</t>
  </si>
  <si>
    <t>VAN</t>
  </si>
  <si>
    <t>TIR</t>
  </si>
  <si>
    <t>Egresos actualizados</t>
  </si>
  <si>
    <t>Ingresos actualizados</t>
  </si>
  <si>
    <t>VAN &lt; 0</t>
  </si>
  <si>
    <t>Rechazar</t>
  </si>
  <si>
    <t>TIR &lt; COK</t>
  </si>
  <si>
    <t>VAN &gt; 0</t>
  </si>
  <si>
    <t>Aceptar</t>
  </si>
  <si>
    <t>TIR &gt; COK</t>
  </si>
  <si>
    <t xml:space="preserve">VAN &lt; 0 Felipe rechaza. Para que rechace, TIR &lt; COK, el COK de Felipe es mayor al 20%. </t>
  </si>
  <si>
    <t xml:space="preserve">VAN &gt; 0 Tiago acepta. Para que acepte, TIR &gt; COK, el COK de Tiago es menor al 20%. </t>
  </si>
  <si>
    <t>TIR proyecto = 20%</t>
  </si>
  <si>
    <t xml:space="preserve">VAN &lt; 0 Tiago rechaza. Para que rechace, TIR &lt; COK, el COK de Tiago es mayor al 30%. </t>
  </si>
  <si>
    <t xml:space="preserve">VAN = 0 -&gt; Indiferencia. Indiferenia -&gt; TIR = COK = 30% . </t>
  </si>
  <si>
    <t>TIR del proyecto 30%</t>
  </si>
  <si>
    <t>VAN &gt; 0 Acepta. Para que acepte TIR &gt; COK entonces la TIR es mayor a 35%</t>
  </si>
  <si>
    <t>TIR del proyecto mayor a 35%</t>
  </si>
  <si>
    <t>TIAGO</t>
  </si>
  <si>
    <t>FELIPE</t>
  </si>
  <si>
    <t xml:space="preserve">TIR </t>
  </si>
  <si>
    <t>Discretizacion</t>
  </si>
  <si>
    <t>RBC</t>
  </si>
  <si>
    <t>VAE</t>
  </si>
  <si>
    <t>VAI</t>
  </si>
  <si>
    <t>Periodo de recupero del Cap</t>
  </si>
  <si>
    <t>El capital se recupera entre el momento 4 y 5</t>
  </si>
  <si>
    <t xml:space="preserve">Si usted es un potencial inversor y se le presentan las siguientes alternativas, luego de analizarlas, ¿cuál cree que seleccionaría en términos financieros y por qué? Justifíquelo. </t>
  </si>
  <si>
    <t>Desde una empresa se plantea la siguiente situación, se necesitarán ciertos insumos informáticos en 1 año, los cuáles tienen un costo actual de $200.000. Existen disponibilidades por dicho valor y se identifican las siguientes alternativas, en base a las cuáles Ud. deberá analizarlas, hallar los resultados y tomar decisiones sobre la alternativa más conveniente:</t>
  </si>
  <si>
    <r>
      <rPr>
        <b/>
        <sz val="11"/>
        <color theme="1"/>
        <rFont val="Calibri"/>
        <family val="2"/>
        <scheme val="minor"/>
      </rPr>
      <t>a)</t>
    </r>
    <r>
      <rPr>
        <sz val="11"/>
        <color theme="1"/>
        <rFont val="Calibri"/>
        <family val="2"/>
        <scheme val="minor"/>
      </rPr>
      <t xml:space="preserve"> Colocar los $200.000 en inversiones de plazo fijo, las tasas mensuales serán del 1% mensual para el primer semestre y del 1.2% para el segundo. Se deberá abonar al momento de la constitución del mismo el impuesto a los sellos, el cuál asciende al 0,5% del monto de la colocación (dicho impuesto se descuenta del valor invertido).</t>
    </r>
  </si>
  <si>
    <r>
      <rPr>
        <b/>
        <sz val="11"/>
        <color theme="1"/>
        <rFont val="Calibri"/>
        <family val="2"/>
        <scheme val="minor"/>
      </rPr>
      <t xml:space="preserve">b) </t>
    </r>
    <r>
      <rPr>
        <sz val="11"/>
        <color theme="1"/>
        <rFont val="Calibri"/>
        <family val="2"/>
        <scheme val="minor"/>
      </rPr>
      <t>Comprar los insumos informáticos en la actualidad, teniendo en cuenta que no tienen fecha de vencimiento y que existen disponibilidades según nos informa el proveedor de los mismos. Es importante tener en cuenta que la inflación (aumento sostenido y generalizado del nivel general de los precios) esperada para este año es del 11% anual y se espera que la variación de los precios del insumo a comprar seguirá el nivel general de inflación.</t>
    </r>
  </si>
  <si>
    <r>
      <rPr>
        <b/>
        <sz val="11"/>
        <color theme="1"/>
        <rFont val="Calibri"/>
        <family val="2"/>
        <scheme val="minor"/>
      </rPr>
      <t>c)</t>
    </r>
    <r>
      <rPr>
        <sz val="11"/>
        <color theme="1"/>
        <rFont val="Calibri"/>
        <family val="2"/>
        <scheme val="minor"/>
      </rPr>
      <t xml:space="preserve"> Otra alternativa es comprar moneda extranjera, la cotización del dólar es de $3,15/U$S y se espera un dólar futuro para dentro de un año de $3,50/U$S.</t>
    </r>
  </si>
  <si>
    <t>41)</t>
  </si>
  <si>
    <t>42)</t>
  </si>
  <si>
    <t>- Canon y compra de peces inicial: $ 1.200.000</t>
  </si>
  <si>
    <t>- Monto de venta de la producción total al finalizar el 4to mes: $1.950.000;</t>
  </si>
  <si>
    <t>- Para el análisis tenga en cuenta que las únicas alternativas de inversión que se le presentan al inversor, son las de los dos puntos precedentes.</t>
  </si>
  <si>
    <t>- Costos a asumir durante cada uno de los 4 meses en concepto de operación y mantenimiento: $150.000;</t>
  </si>
  <si>
    <r>
      <rPr>
        <b/>
        <sz val="11"/>
        <color theme="1"/>
        <rFont val="Calibri"/>
        <family val="2"/>
        <scheme val="minor"/>
      </rPr>
      <t xml:space="preserve">A. </t>
    </r>
    <r>
      <rPr>
        <sz val="11"/>
        <color theme="1"/>
        <rFont val="Calibri"/>
        <family val="2"/>
        <scheme val="minor"/>
      </rPr>
      <t>Partiendo de un determinado capital inicial, realizar una serie de depósitos a plazo fijo, con los cuáles obtendría una tasa de interés compuesto anual del 20% para los primeros 60 días, una tasa de interés compuesto anual del 23% para los 90 días posteriores y finalmente del 25% anual compuesto para los 50 días finales;</t>
    </r>
  </si>
  <si>
    <r>
      <rPr>
        <b/>
        <sz val="11"/>
        <color theme="1"/>
        <rFont val="Calibri"/>
        <family val="2"/>
        <scheme val="minor"/>
      </rPr>
      <t xml:space="preserve">B. </t>
    </r>
    <r>
      <rPr>
        <sz val="11"/>
        <color theme="1"/>
        <rFont val="Calibri"/>
        <family val="2"/>
        <scheme val="minor"/>
      </rPr>
      <t>Adquirir un inmueble comercial que será destinado a su alquiler, por el cuál se cree que se obtendrá un valor locativo mensual de $10.500. El valor de la inversión en al compra del citado inmueble asciende a $ 800.000</t>
    </r>
  </si>
  <si>
    <r>
      <rPr>
        <b/>
        <sz val="11"/>
        <color theme="1"/>
        <rFont val="Calibri"/>
        <family val="2"/>
        <scheme val="minor"/>
      </rPr>
      <t xml:space="preserve">C. </t>
    </r>
    <r>
      <rPr>
        <sz val="11"/>
        <color theme="1"/>
        <rFont val="Calibri"/>
        <family val="2"/>
        <scheme val="minor"/>
      </rPr>
      <t xml:space="preserve">La tercera opción que se le presenta es la de alquiler un criadero de truchas por 4 meses, con las siguientes características: </t>
    </r>
  </si>
  <si>
    <t>a)</t>
  </si>
  <si>
    <t>impuesto a los sellos</t>
  </si>
  <si>
    <t>C0</t>
  </si>
  <si>
    <t>Cf1</t>
  </si>
  <si>
    <t>Cf2</t>
  </si>
  <si>
    <t>b)</t>
  </si>
  <si>
    <t>Cf</t>
  </si>
  <si>
    <t xml:space="preserve">1 dólar </t>
  </si>
  <si>
    <t>c)</t>
  </si>
  <si>
    <t xml:space="preserve">Inflacion </t>
  </si>
  <si>
    <t>Semestre</t>
  </si>
  <si>
    <t>6 meses</t>
  </si>
  <si>
    <t>Tasa mensual 1</t>
  </si>
  <si>
    <t>Tasa mensual 2</t>
  </si>
  <si>
    <t>Plazo</t>
  </si>
  <si>
    <t>1 año</t>
  </si>
  <si>
    <t>n</t>
  </si>
  <si>
    <t>A.</t>
  </si>
  <si>
    <t>B.</t>
  </si>
  <si>
    <t>C.</t>
  </si>
  <si>
    <t>Tasa interes compuesto anual</t>
  </si>
  <si>
    <t>dias</t>
  </si>
  <si>
    <t>Renta</t>
  </si>
  <si>
    <t>Tasa efectiva (200 dias)</t>
  </si>
  <si>
    <t xml:space="preserve">Tasa mensual equivalente </t>
  </si>
  <si>
    <t xml:space="preserve">Tasa anual equivalente </t>
  </si>
  <si>
    <t>Es razonable que de 22,5 ya que esta entre 20 y 25</t>
  </si>
  <si>
    <t>Tasa de interes mensual</t>
  </si>
  <si>
    <t>Tasa anual equivalente</t>
  </si>
  <si>
    <t>Periodo 0</t>
  </si>
  <si>
    <t>Periodo 3</t>
  </si>
  <si>
    <t>Periodo 4</t>
  </si>
  <si>
    <t>Momentos</t>
  </si>
  <si>
    <t xml:space="preserve">FF </t>
  </si>
  <si>
    <t>Tasa mensual (COK)</t>
  </si>
  <si>
    <t>TIR anual</t>
  </si>
  <si>
    <t>TIR mensual</t>
  </si>
  <si>
    <t>Entonces</t>
  </si>
  <si>
    <t>43)</t>
  </si>
  <si>
    <t>En virtud de los resultados, la opción conveniente financieramente, será la opción 3ra.</t>
  </si>
  <si>
    <t xml:space="preserve">A un ahorrista se le plantea la siguiente disyuntiva en la actualidad y pide su asesoramiento para asistirlo en la toma de decisiones tendiente a la identificación y selección de la alternativa más conveniente (a partir de la comparación de la tasa de rentabilidad de cada alternativa). El mismo ha ahorrado a lo largo del tiempo la suma de $1.000.000 y desea invertirlo y se le presentan las siguientes alternativas: </t>
  </si>
  <si>
    <t xml:space="preserve">1. Comprar acciones de YPF S. A. con la expectativa que se generen dos tipos de incrementos del capital invertido, fruto de la variación de la cotización de la acción y en función del reparto de utilidades de la empresa entre sus accionistas. Con respecto al primero de los puntos, se espera que al cabo de 18 meses aumente su cotización en un 21% para dicho período. A su vez, fruto de la cantidad de acciones a comprar y de las ganancias que se aspira genere la empresa se estima que el inversionista cobrará dividendos (rendimiento) por $137.300 al finalizar el mes número 18. </t>
  </si>
  <si>
    <t xml:space="preserve">2. Realizar una serie de depósitos a plazo fijo por un plazo total de 18 meses, para los cuáles, en función del 1.000.000 que se ofrece colocar, las tasas logradas serán del 21% anual para el primer semestre, del 23% anual para el segundo semestre y del 1,3% mensual para el tercer semestre. </t>
  </si>
  <si>
    <t>3. Su tercer opción es adquirir 6 inmuebles comerciales que ya se encuentran alquilados, y generan una renta neta mensual (monto de alquileres neto de comisiones y gastos de mantenimiento) de $14.000.</t>
  </si>
  <si>
    <t xml:space="preserve"> Le piden analizar una posibilidad de inversión de 3.000.000 para su construcción (2/3 el primer año y 1/3 el segundo). Se espera tener como egresos operativos 250.000$ anuales, durante sólo cinco años de operación. Los ingresos serán de 1.200.000 $/año. Ha recorrido los bancos de la ciudad y ha conseguido recopilar la siguiente información de tasas que podrían estar al alcance del inversor: 12,7%, 13% y 14% anual. . Los ingresos y egresos operativos se perciben/pagan al año siguiente inmediato de terminar la construcción. Realice los cálculos que crea conveniente y justifique su respuesta al inversor</t>
  </si>
  <si>
    <t>Ejercicio IV</t>
  </si>
  <si>
    <t>Ejercicio III</t>
  </si>
  <si>
    <t>Cuál será el valor de la cuota de un préstamo de $ 50.000, si se lo solicita en 6 cuotas y la tasa de interés es del 2%. Se solicita detallar la composición de cada una de las cuotas. Calcule cuánto debería abonar al pagar la 4ta. cuota si allí quisiera cancelar el crédito.</t>
  </si>
  <si>
    <t>Resolver el ejercicio 34 por el Sistema Alemán. Se solicita también detallar la composición de cada una de las cuotas. Calcule cuánto debería abonar al pagar la 4ta. Cuota si allí quisiera cancelar el crédito. Analizando la resolución de los ejercicios 34 y 35, luego opine desde el punto de vista financiero, ¿cuál de las dos alternativas es más conveniente? ¿Sistema Francés o Alemán? Justifique.</t>
  </si>
  <si>
    <t>¿Cuál será el valor de la cuota de un préstamo de $ 85.000, si se lo solicita en 8 cuotas anuales y la tasa de interés es del 12% anual? Considerar las cuotas vencidas. Se solicita desarrollar el cuadro completo de amortización (Sistema Francés).</t>
  </si>
  <si>
    <t>Siguiendo con el ejemplo anterior, se solicita desarrollar el cuadro completo de amortización mediante el sistema Alemán.</t>
  </si>
  <si>
    <t>Un empresario, dueño de una mediana empresa de jugos, posee una suma en ahorros de 5 millones de pesos y desea invertirlos. Sus alternativas de inversión son:</t>
  </si>
  <si>
    <t>Si bien esta inversión no generaría ganancias en sí misma, evitaría el pago anual que se realiza actualmente a la empresa de aguas por hacerse cargo de sus efluentes. Estos valores ascienden a 2 millones de $ para el 2019, y se prevé un aumento del 20% anual para los siguientes 4 años.</t>
  </si>
  <si>
    <t>La inversión requerida para esta planta asciende a los 8 millones de pesos, que se deberá realizar a principio de 2019, y comenzará a funcionar inmediatamente.</t>
  </si>
  <si>
    <t>Como los fondos disponibles no son suficientes, se pedirá un crédito que ofrece el banco provincia para obras de saneamiento, a una tasa de 10 % anual y a pagar en 5 cuotas anuales por sistema alemán. El crédito se comenzará a pagar a fines del primer año de operación (2019).</t>
  </si>
  <si>
    <t>Considere, por simplificación, un período de operación de 5 años.</t>
  </si>
  <si>
    <t>Tanto la inversión como el otorgamiento del crédito se harán a inicios del primer año de operación (2019). Cada cuota del crédito se paga a finalizar el año</t>
  </si>
  <si>
    <t>Los costos operativos de la planta ascienden a $700.000 por año</t>
  </si>
  <si>
    <t xml:space="preserve">Consignas: </t>
  </si>
  <si>
    <t>- ¿Qué opción le conviene financieramente al empresario? Si el crédito obtenido hubiera sido financiado a través del sistema francés, ¿hubiera influido en esta decisión?  alternativa.</t>
  </si>
  <si>
    <t xml:space="preserve">- ¿Cuál es la tasa de rentabilidad (TIR) en cada opción? </t>
  </si>
  <si>
    <t>- ¿A qué valor deberían descender los costos operativos para que la opción conveniente fuera otra?</t>
  </si>
  <si>
    <t>- Los criterios adoptados, ¿son suficientes para rechazar o elegir una opción? Nombre algún otro criterio que a su parecer debería o podría tenerse en cuenta para optar por una u otra</t>
  </si>
  <si>
    <r>
      <rPr>
        <b/>
        <i/>
        <sz val="11"/>
        <color theme="1"/>
        <rFont val="Calibri"/>
        <family val="2"/>
        <scheme val="minor"/>
      </rPr>
      <t xml:space="preserve">a. </t>
    </r>
    <r>
      <rPr>
        <sz val="11"/>
        <color theme="1"/>
        <rFont val="Calibri"/>
        <family val="2"/>
        <scheme val="minor"/>
      </rPr>
      <t>Comprar 3 departamentos para su alquiler, obteniendo una renta mensual neta de $8.000 por cada unidad.</t>
    </r>
  </si>
  <si>
    <r>
      <rPr>
        <b/>
        <i/>
        <sz val="11"/>
        <color theme="1"/>
        <rFont val="Calibri"/>
        <family val="2"/>
        <scheme val="minor"/>
      </rPr>
      <t xml:space="preserve">b. </t>
    </r>
    <r>
      <rPr>
        <sz val="11"/>
        <color theme="1"/>
        <rFont val="Calibri"/>
        <family val="2"/>
        <scheme val="minor"/>
      </rPr>
      <t>Plazo fijo por dos años: partiendo de un capital inicial disponible, realizar una serie de depósitos a plazo fijo, con los cuales obtendría una tasa de interés compuesto anual del 18% para los primeros 6 meses, una tasa de interés compuesto mensual del 1,5% para los 6 meses posteriores y finalmente del 19% anual compuesto para el último año.</t>
    </r>
  </si>
  <si>
    <r>
      <rPr>
        <b/>
        <i/>
        <sz val="11"/>
        <color theme="1"/>
        <rFont val="Calibri"/>
        <family val="2"/>
        <scheme val="minor"/>
      </rPr>
      <t xml:space="preserve">c. </t>
    </r>
    <r>
      <rPr>
        <sz val="11"/>
        <color theme="1"/>
        <rFont val="Calibri"/>
        <family val="2"/>
        <scheme val="minor"/>
      </rPr>
      <t xml:space="preserve">Reinvertirlo en su empresa de jugos: el encargado de medio ambiente de la empresa, le ha sugerido en varias ocasiones realizar una inversión en la compra de una planta de tratamiento compacta “llave en mano” para los efluentes generados, con el fin de su acondicionamiento a las normas vigentes de vuelco. </t>
    </r>
  </si>
  <si>
    <t>En las publicidades de la calle se puede ver a un “conocido” de la tele, el cual da invita a concurrir a una determinada financiera donde otorgan un crédito personal de $8.000 por “sólo 12 cuotitas de $1.099”... Se le solicita a usted que calcule cuál es la tasa efectiva anual que le está cobrando la entidad financiera.</t>
  </si>
  <si>
    <t>44)</t>
  </si>
  <si>
    <t>45)</t>
  </si>
  <si>
    <t>Usted está averiguando los costos financieros para comprar una movilidad para afectar a su actividad, y en una concesionaria le ofrecen la unidad que usted necesita y le financian $280.000 del valor de la misma, pagando una cuota mensual fija de $21.906 mensuales por 24 meses. Calcule cuál es la tasa efectiva anual que le está cobrando la concesionaria. A su vez, la informan que los gastos que trae aparejados la solicitud del crédito son: $25.000 por averiguación de antecedentes crediticios y análisis de capacidad de pago, y se estima en $23.000 los gastos de constitución de la prenda del rodado al inicio y otros $23.000 al finalizar el crédito para el levantamiento de la prenda. Por lo tanto, con estos nuevos datos se le solicita que calcule el costo financiero total que implica el financiamiento ofrecido.</t>
  </si>
  <si>
    <t>46)</t>
  </si>
  <si>
    <r>
      <t xml:space="preserve">Una localidad evalúa ofrecer el servicio de agua potable a cierto sector de la población. El Ingeniero proyectista identificó y desarrollo a nivel de anteproyecto dos alternativas técnicas: </t>
    </r>
    <r>
      <rPr>
        <b/>
        <i/>
        <sz val="11"/>
        <color theme="1"/>
        <rFont val="Calibri"/>
        <family val="2"/>
        <scheme val="minor"/>
      </rPr>
      <t>a)</t>
    </r>
    <r>
      <rPr>
        <sz val="11"/>
        <color theme="1"/>
        <rFont val="Calibri"/>
        <family val="2"/>
        <scheme val="minor"/>
      </rPr>
      <t xml:space="preserve"> Construcción de un nuevo tanque elevado y abastecerlo a partir de perforaciones, y </t>
    </r>
    <r>
      <rPr>
        <b/>
        <i/>
        <sz val="11"/>
        <color theme="1"/>
        <rFont val="Calibri"/>
        <family val="2"/>
        <scheme val="minor"/>
      </rPr>
      <t>b)</t>
    </r>
    <r>
      <rPr>
        <sz val="11"/>
        <color theme="1"/>
        <rFont val="Calibri"/>
        <family val="2"/>
        <scheme val="minor"/>
      </rPr>
      <t xml:space="preserve"> Construcción de tanques cisternas con presurización en el predio donde se ubica el tanque elevado del actual servicio y agregar nuevas perforaciones en la batería actual existente.</t>
    </r>
  </si>
  <si>
    <t>PARTE 1</t>
  </si>
  <si>
    <t>Los estudios de Impacto ambiental, y de viabilidad institucional, jurídica y social, de ambas alternativas resultaron positivos. Resta analizar aspectos de su viabilidad financiera. Se identificaron los costos de inversión (según cómputo y presupuesto) y los costos de operación y mantenimiento de cada alternativa. Ambos proyectos se evalúan para una operación 10 años.</t>
  </si>
  <si>
    <t>Los costos a asumir para cada proyecto son los siguientes:</t>
  </si>
  <si>
    <r>
      <rPr>
        <b/>
        <i/>
        <sz val="11"/>
        <color theme="1"/>
        <rFont val="Calibri"/>
        <family val="2"/>
        <scheme val="minor"/>
      </rPr>
      <t>Proyecto A-</t>
    </r>
    <r>
      <rPr>
        <sz val="11"/>
        <color theme="1"/>
        <rFont val="Calibri"/>
        <family val="2"/>
        <scheme val="minor"/>
      </rPr>
      <t>Inversión de $7 000 000 durante el año de construcción; costos operativos de $200 000 anuales. Un ingreso inicial por la venta de tanques actuales que entrarán en desuso por $500.000</t>
    </r>
  </si>
  <si>
    <r>
      <rPr>
        <b/>
        <i/>
        <sz val="11"/>
        <color theme="1"/>
        <rFont val="Calibri"/>
        <family val="2"/>
        <scheme val="minor"/>
      </rPr>
      <t>Proyecto B-</t>
    </r>
    <r>
      <rPr>
        <sz val="11"/>
        <color theme="1"/>
        <rFont val="Calibri"/>
        <family val="2"/>
        <scheme val="minor"/>
      </rPr>
      <t>Inversión de $5.500.000 durante el año de construcción, con una reinversión durante el 3er año de operación de $1 000 000, y costos operativos de $300.000 anuales.</t>
    </r>
  </si>
  <si>
    <t>En ambos casos, se estima un ingreso de $1 000 000 por año durante los 10 años de operación, y se prevé una duración de la construcción en 1 año (luego de su finalización, comenzaría la operación).</t>
  </si>
  <si>
    <t>¿Cuál de las alternativas es la más conveniente financieramente?</t>
  </si>
  <si>
    <t>PARTE 2</t>
  </si>
  <si>
    <t>Si para poder cubrir la inversión inicial de la alternativa seleccionada (la más conveniente financieramente), la comuna tiene que contraer un crédito y se le presentan las siguientes posibilidades:</t>
  </si>
  <si>
    <t>Indique: a) la unidad de tiempo, plazo y monto a pagar en las opciones de financiamiento; b) en función de las respuestas a los puntos anteriores, analice y opine sobre cuál sería la alternativa conveniente.</t>
  </si>
  <si>
    <r>
      <rPr>
        <b/>
        <i/>
        <sz val="11"/>
        <color theme="1"/>
        <rFont val="Calibri"/>
        <family val="2"/>
        <scheme val="minor"/>
      </rPr>
      <t>1.</t>
    </r>
    <r>
      <rPr>
        <sz val="11"/>
        <color theme="1"/>
        <rFont val="Calibri"/>
        <family val="2"/>
        <scheme val="minor"/>
      </rPr>
      <t xml:space="preserve"> Contraer un crédito en una entidad bancaria 1 que le ofrece una tasa anual del 12%, a devolver al año.</t>
    </r>
  </si>
  <si>
    <r>
      <rPr>
        <b/>
        <i/>
        <sz val="11"/>
        <color theme="1"/>
        <rFont val="Calibri"/>
        <family val="2"/>
        <scheme val="minor"/>
      </rPr>
      <t>2.</t>
    </r>
    <r>
      <rPr>
        <sz val="11"/>
        <color theme="1"/>
        <rFont val="Calibri"/>
        <family val="2"/>
        <scheme val="minor"/>
      </rPr>
      <t xml:space="preserve"> Una mutual de la localidad le ofrece el capital necesario a devolver a los 18 meses, con una tasa de interés compuesto del 6% semestral durante el primer año, y del 1,5% mensual durante los últimos 6 meses.</t>
    </r>
  </si>
  <si>
    <t>PARTE 3</t>
  </si>
  <si>
    <t>La comuna ha decidido avanzar con el desarrollo de la obra, seleccionando la alternativa A que planteaba la construcción de un nuevo tanque elevado y perforaciones, con un presupuesto inicial de $7.000.000. Luego de que la obra haya sido declarada de interés local, se decide por audiencias públicas que la misma sea financiada en un 50% (el resto estaría a cargo del estado) por los 500 beneficiarios de la obra, bajo el sistema de contribución de mejoras. Desde la comuna se está pensando en ofrecer tres alternativas de pago:</t>
  </si>
  <si>
    <t>A pedido de dos beneficiarios, se plantean dos situaciones particulares que deberá resolver el esquema de financiación, manteniendo los mismos costos de financiamiento:</t>
  </si>
  <si>
    <r>
      <rPr>
        <b/>
        <i/>
        <sz val="11"/>
        <color theme="1"/>
        <rFont val="Calibri"/>
        <family val="2"/>
        <scheme val="minor"/>
      </rPr>
      <t>1-</t>
    </r>
    <r>
      <rPr>
        <sz val="11"/>
        <color theme="1"/>
        <rFont val="Calibri"/>
        <family val="2"/>
        <scheme val="minor"/>
      </rPr>
      <t>Un valor de pago de contado (valor proporcional);</t>
    </r>
  </si>
  <si>
    <r>
      <rPr>
        <b/>
        <i/>
        <sz val="11"/>
        <color theme="1"/>
        <rFont val="Calibri"/>
        <family val="2"/>
        <scheme val="minor"/>
      </rPr>
      <t>2-</t>
    </r>
    <r>
      <rPr>
        <sz val="11"/>
        <color theme="1"/>
        <rFont val="Calibri"/>
        <family val="2"/>
        <scheme val="minor"/>
      </rPr>
      <t>Financiada en los 8 meses que dura la obra, aplicando Sistema Francés y una tasa del 1,5% mensual (desarrolle el cuadro de amortización);</t>
    </r>
  </si>
  <si>
    <r>
      <rPr>
        <b/>
        <i/>
        <sz val="11"/>
        <color theme="1"/>
        <rFont val="Calibri"/>
        <family val="2"/>
        <scheme val="minor"/>
      </rPr>
      <t>3-</t>
    </r>
    <r>
      <rPr>
        <sz val="11"/>
        <color theme="1"/>
        <rFont val="Calibri"/>
        <family val="2"/>
        <scheme val="minor"/>
      </rPr>
      <t>Financiada en 8 meses, aplicando Sistema Alemán y una tasa también del 1,5% mensual (desarrolle el cuadro de amortización);</t>
    </r>
  </si>
  <si>
    <r>
      <rPr>
        <b/>
        <i/>
        <sz val="11"/>
        <color theme="1"/>
        <rFont val="Calibri"/>
        <family val="2"/>
        <scheme val="minor"/>
      </rPr>
      <t>Situación 1-</t>
    </r>
    <r>
      <rPr>
        <sz val="11"/>
        <color theme="1"/>
        <rFont val="Calibri"/>
        <family val="2"/>
        <scheme val="minor"/>
      </rPr>
      <t>Un vecino planteo su posibilidad de comenzar a abonar recién en el mes 3 y solicitó que se le realice a partir de dicha fecha un plan de 5 cuotas (sistema Francés) (Se pretende que al momento del cálculo de la cuota, se contemple el valor de la obra actualizado con idéntico costo financiero)</t>
    </r>
  </si>
  <si>
    <r>
      <rPr>
        <b/>
        <i/>
        <sz val="11"/>
        <color theme="1"/>
        <rFont val="Calibri"/>
        <family val="2"/>
        <scheme val="minor"/>
      </rPr>
      <t>Situación 2-</t>
    </r>
    <r>
      <rPr>
        <sz val="11"/>
        <color theme="1"/>
        <rFont val="Calibri"/>
        <family val="2"/>
        <scheme val="minor"/>
      </rPr>
      <t>Un vecino adherido al convenio previsto con Sistema Alemán, decide luego de pagar la 4ta cuota cancelar el saldo de contado y solicita saber el monto a abonar.</t>
    </r>
  </si>
  <si>
    <t>Valor de la cuota</t>
  </si>
  <si>
    <t>Financieramente ambas altenativas son convenientes.</t>
  </si>
  <si>
    <t xml:space="preserve">Interés del período: $7.401,65, </t>
  </si>
  <si>
    <t>Total amortizado: $33.028,70.</t>
  </si>
  <si>
    <t xml:space="preserve">Cuota 6: </t>
  </si>
  <si>
    <t xml:space="preserve">Interés del período: $3.825,00. </t>
  </si>
  <si>
    <t>a.</t>
  </si>
  <si>
    <t>Departamentos</t>
  </si>
  <si>
    <t>Renta mensual por cada unidad</t>
  </si>
  <si>
    <t>Ahorro (C0)</t>
  </si>
  <si>
    <t>Tasa mensual</t>
  </si>
  <si>
    <t>b.</t>
  </si>
  <si>
    <t>Plazo fijo de dos años</t>
  </si>
  <si>
    <t>Tasa de interes 1</t>
  </si>
  <si>
    <t>anual</t>
  </si>
  <si>
    <t>Tasa de interes 2</t>
  </si>
  <si>
    <t>mensual</t>
  </si>
  <si>
    <t>para primeros 6 meses</t>
  </si>
  <si>
    <t>para segundos 6 meses</t>
  </si>
  <si>
    <t>Tasa de interes 3</t>
  </si>
  <si>
    <t>para los ultimos 12 meses</t>
  </si>
  <si>
    <t>C1</t>
  </si>
  <si>
    <t>C2</t>
  </si>
  <si>
    <t>C3</t>
  </si>
  <si>
    <t>Tasa efectiva para 24 meses</t>
  </si>
  <si>
    <t>c.</t>
  </si>
  <si>
    <t>Ingresos discretizados</t>
  </si>
  <si>
    <t xml:space="preserve">Ingresos </t>
  </si>
  <si>
    <t>Tasa</t>
  </si>
  <si>
    <t>Credito por sistema aleman</t>
  </si>
  <si>
    <t>Inversion</t>
  </si>
  <si>
    <t>Credito (ingreso)</t>
  </si>
  <si>
    <t xml:space="preserve">Cuotas </t>
  </si>
  <si>
    <t>Costos operativos</t>
  </si>
  <si>
    <t>Las cuotas no las discretizo porque se pagan al final de cada momento, es decir al final de cada año</t>
  </si>
  <si>
    <t>Costos operativos discretizados</t>
  </si>
  <si>
    <t>FF discretizados</t>
  </si>
  <si>
    <t xml:space="preserve">FF  </t>
  </si>
  <si>
    <r>
      <t xml:space="preserve">Al empresario le conviene financieramente la </t>
    </r>
    <r>
      <rPr>
        <i/>
        <u/>
        <sz val="11"/>
        <color theme="1"/>
        <rFont val="Calibri"/>
        <family val="2"/>
        <scheme val="minor"/>
      </rPr>
      <t>opcion b</t>
    </r>
    <r>
      <rPr>
        <sz val="11"/>
        <color theme="1"/>
        <rFont val="Calibri"/>
        <family val="2"/>
        <scheme val="minor"/>
      </rPr>
      <t>. Si el credito hubiera sido financiador a traves del sistema frances no hubiera influido en la decision ya que ambos sistemas son financieramente equivalentes, en ambos sistema termina asumiendo la misma tasa.</t>
    </r>
  </si>
  <si>
    <t>Asumiendo un costo operativo de $574000 se produciria una situacion de indiferencia financiera entre la pcion b y c. Adoptando valores menores la alternativa conveniente seria la c. ya que su tasa de rentabilidad supera los 18.89%</t>
  </si>
  <si>
    <t>a. 5.91%        b. 18.89%          c. 15.03%</t>
  </si>
  <si>
    <t>Los criterios adoptados son suficientes para rechazar o elegir una opcion financieramente. Si quisiera analizarlo por otro lado podria evaluar la ecologia, por estelado nos convendria la alternativa c, indeferentemente del valor de la tasa de rentabilidad</t>
  </si>
  <si>
    <t>Con los resultados obtenidos, la alternativa más conveniente es la a), en la cuál se obtiene el mayor valor con respecto al precio estimado de los insumos dentro de un año.</t>
  </si>
  <si>
    <t>a) Monto</t>
  </si>
  <si>
    <t>b) Monto</t>
  </si>
  <si>
    <t>c) Monto</t>
  </si>
  <si>
    <t>Capital (Ingresos)</t>
  </si>
  <si>
    <t>Cuotas (Egresos)</t>
  </si>
  <si>
    <t>Gastos de credito</t>
  </si>
  <si>
    <t>Gastos prenda y levantamiento</t>
  </si>
  <si>
    <t xml:space="preserve">Proyecto A </t>
  </si>
  <si>
    <t>Proyecto B</t>
  </si>
  <si>
    <t>Alternativa 1</t>
  </si>
  <si>
    <t>Alternativa 2</t>
  </si>
  <si>
    <t>semestral</t>
  </si>
  <si>
    <t>para primer año</t>
  </si>
  <si>
    <t>para 6 meses</t>
  </si>
  <si>
    <t>1-</t>
  </si>
  <si>
    <t>Total obra</t>
  </si>
  <si>
    <t>50% pagan beneficiarios</t>
  </si>
  <si>
    <t>Cant. de beneficiarios</t>
  </si>
  <si>
    <t>Total a pagar cada uno</t>
  </si>
  <si>
    <t>2-</t>
  </si>
  <si>
    <t>Meses</t>
  </si>
  <si>
    <t>Sistema frances</t>
  </si>
  <si>
    <t>3-</t>
  </si>
  <si>
    <t>Sistema aleman</t>
  </si>
  <si>
    <t>Ingresa a cuotas en mes 3</t>
  </si>
  <si>
    <t>Pago en 5 cuotas de $1530.48</t>
  </si>
  <si>
    <t>Total a abonar luego de haber pagado la 4ta cuota</t>
  </si>
  <si>
    <t>Venta de tanques</t>
  </si>
  <si>
    <t>Ingreso operativo</t>
  </si>
  <si>
    <t>Discretizados</t>
  </si>
  <si>
    <t>Egresos discretizados</t>
  </si>
  <si>
    <t>I. discre</t>
  </si>
  <si>
    <t>Proyecto A</t>
  </si>
  <si>
    <t>TIR PROYECTO A = 4% anual &gt; TIR PROYECTO B = 1.5% anual</t>
  </si>
  <si>
    <t>Entonces la alternativa más conveniente financieramente es la del PROYECTO A</t>
  </si>
  <si>
    <t>Para 12 meses</t>
  </si>
  <si>
    <t>Tasa ponderada para 18 meses</t>
  </si>
  <si>
    <t>Unidad de tiempo</t>
  </si>
  <si>
    <t>Monto</t>
  </si>
  <si>
    <t>año</t>
  </si>
  <si>
    <t>12 meses</t>
  </si>
  <si>
    <t>Ahorrado</t>
  </si>
  <si>
    <t>Incremento de acciones</t>
  </si>
  <si>
    <t>18 meses</t>
  </si>
  <si>
    <t>Tasa efectiva</t>
  </si>
  <si>
    <t>1)</t>
  </si>
  <si>
    <t>2)</t>
  </si>
  <si>
    <t>Tasa 1</t>
  </si>
  <si>
    <t>primer semestre</t>
  </si>
  <si>
    <t>Tasa 2</t>
  </si>
  <si>
    <t>Tasa 3</t>
  </si>
  <si>
    <t>segundo semestre</t>
  </si>
  <si>
    <t>tercer semestre</t>
  </si>
  <si>
    <t>Tasa (18 meses)</t>
  </si>
  <si>
    <t>Tasa equivalente anual</t>
  </si>
  <si>
    <t>3)</t>
  </si>
  <si>
    <t>Inmuebles</t>
  </si>
  <si>
    <t xml:space="preserve">Alquiler </t>
  </si>
  <si>
    <t>Dividendos</t>
  </si>
  <si>
    <t>Egreso</t>
  </si>
  <si>
    <t>TIR 18 meses</t>
  </si>
  <si>
    <t>A este ahorrista, financieramente,  le conviene invertir la alternativa 1</t>
  </si>
  <si>
    <t>Primer año de construccion</t>
  </si>
  <si>
    <t>Segundo año de construccion</t>
  </si>
  <si>
    <t>Egresos operativos anuales</t>
  </si>
  <si>
    <t>Ingresos /año</t>
  </si>
  <si>
    <t>Años de operación</t>
  </si>
  <si>
    <t>Años de construccion</t>
  </si>
  <si>
    <t>Egresos operativos</t>
  </si>
  <si>
    <t>TIR DEL PROYECTO</t>
  </si>
  <si>
    <t>Tasa 3 (TIR)</t>
  </si>
  <si>
    <t>Rechazar el proyecto</t>
  </si>
  <si>
    <t>TIR BANCO &gt; TIR DEL PROYECTO</t>
  </si>
  <si>
    <t>Inversion inicial</t>
  </si>
  <si>
    <t>semestre</t>
  </si>
  <si>
    <t>mes</t>
  </si>
  <si>
    <t>Financieramente conviene la alternativa del banco</t>
  </si>
  <si>
    <t>La alternativa mas conveniente financieramente sera la primera, ya que el monto a deolver es menor y la tasa anual es menor tambien</t>
  </si>
  <si>
    <t>Tasa equivalente p/ 18 meses</t>
  </si>
  <si>
    <t>Para 18 meses</t>
  </si>
  <si>
    <t>ACTUALIZADOS</t>
  </si>
  <si>
    <t>I. actualizad</t>
  </si>
  <si>
    <t>Me da igual q arriba, OK</t>
  </si>
  <si>
    <t>T. equivalent p/18 meses</t>
  </si>
  <si>
    <t>Tasa p/ 18 meses</t>
  </si>
  <si>
    <t>Alternativa 3</t>
  </si>
  <si>
    <t>TIR MENSUAL</t>
  </si>
  <si>
    <t>TIR ANUAL</t>
  </si>
  <si>
    <t>E</t>
  </si>
  <si>
    <t>I</t>
  </si>
  <si>
    <t>E. Act</t>
  </si>
  <si>
    <t>I. Act</t>
  </si>
  <si>
    <t>FF. 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</si>
</sst>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 #,##0.00_-;\-&quot;$&quot;\ * #,##0.00_-;_-&quot;$&quot;\ * &quot;-&quot;??_-;_-@_-"/>
    <numFmt numFmtId="164" formatCode="&quot;$&quot;#,##0_);[Red]\(&quot;$&quot;#,##0\)"/>
    <numFmt numFmtId="165" formatCode="_(&quot;$&quot;* #,##0.00_);_(&quot;$&quot;* \(#,##0.00\);_(&quot;$&quot;* &quot;-&quot;??_);_(@_)"/>
    <numFmt numFmtId="166" formatCode="0.0%"/>
    <numFmt numFmtId="167" formatCode="0.0"/>
    <numFmt numFmtId="168" formatCode="0.000%"/>
    <numFmt numFmtId="169" formatCode="&quot;$&quot;\ #,##0.00"/>
    <numFmt numFmtId="170" formatCode="0.000000000"/>
  </numFmts>
  <fonts count="8"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i/>
      <sz val="11"/>
      <color theme="1"/>
      <name val="Calibri"/>
      <family val="2"/>
      <scheme val="minor"/>
    </font>
    <font>
      <sz val="8"/>
      <name val="Calibri"/>
      <family val="2"/>
      <scheme val="minor"/>
    </font>
    <font>
      <i/>
      <u/>
      <sz val="11"/>
      <color theme="1"/>
      <name val="Calibri"/>
      <family val="2"/>
      <scheme val="minor"/>
    </font>
    <font>
      <b/>
      <i/>
      <sz val="11"/>
      <color rgb="FFFF0000"/>
      <name val="Calibri"/>
      <family val="2"/>
      <scheme val="minor"/>
    </font>
  </fonts>
  <fills count="16">
    <fill>
      <patternFill patternType="none"/>
    </fill>
    <fill>
      <patternFill patternType="gray125"/>
    </fill>
    <fill>
      <patternFill patternType="solid">
        <fgColor theme="9" tint="0.59999389629810485"/>
        <bgColor indexed="64"/>
      </patternFill>
    </fill>
    <fill>
      <patternFill patternType="solid">
        <fgColor theme="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9" fontId="3" fillId="0" borderId="0" applyFont="0" applyFill="0" applyBorder="0" applyAlignment="0" applyProtection="0"/>
    <xf numFmtId="165" fontId="3" fillId="0" borderId="0" applyFont="0" applyFill="0" applyBorder="0" applyAlignment="0" applyProtection="0"/>
  </cellStyleXfs>
  <cellXfs count="354">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0" xfId="0" applyAlignment="1">
      <alignment horizontal="center"/>
    </xf>
    <xf numFmtId="0" fontId="1" fillId="0" borderId="1" xfId="0" applyFont="1" applyBorder="1" applyAlignment="1">
      <alignment horizontal="center" vertical="center"/>
    </xf>
    <xf numFmtId="0" fontId="0" fillId="0" borderId="4" xfId="0" applyBorder="1" applyAlignment="1">
      <alignment horizontal="center"/>
    </xf>
    <xf numFmtId="0" fontId="0" fillId="0" borderId="0" xfId="0" applyFill="1" applyAlignment="1">
      <alignment horizontal="right"/>
    </xf>
    <xf numFmtId="0" fontId="0" fillId="0" borderId="0" xfId="0" applyFill="1" applyAlignment="1">
      <alignment horizontal="left" wrapText="1"/>
    </xf>
    <xf numFmtId="0" fontId="2" fillId="0" borderId="1" xfId="0" applyFont="1" applyBorder="1"/>
    <xf numFmtId="0" fontId="1" fillId="0" borderId="1" xfId="0" applyFont="1" applyBorder="1" applyAlignment="1">
      <alignment horizontal="center"/>
    </xf>
    <xf numFmtId="0" fontId="2" fillId="0" borderId="0" xfId="0" applyFont="1" applyBorder="1"/>
    <xf numFmtId="0" fontId="0" fillId="0" borderId="0" xfId="0" applyBorder="1"/>
    <xf numFmtId="0" fontId="0" fillId="0" borderId="1" xfId="0" applyFont="1" applyBorder="1" applyAlignment="1">
      <alignment horizontal="right"/>
    </xf>
    <xf numFmtId="0" fontId="0" fillId="0" borderId="3" xfId="0" applyBorder="1"/>
    <xf numFmtId="0" fontId="2" fillId="0" borderId="0" xfId="0" applyFont="1" applyFill="1" applyBorder="1" applyAlignment="1">
      <alignment horizontal="center" wrapText="1"/>
    </xf>
    <xf numFmtId="0" fontId="0" fillId="0" borderId="0" xfId="0" applyFont="1"/>
    <xf numFmtId="0" fontId="0" fillId="0" borderId="0" xfId="0" applyFont="1" applyBorder="1"/>
    <xf numFmtId="0" fontId="0" fillId="0" borderId="0" xfId="0" applyFont="1" applyFill="1" applyBorder="1" applyAlignment="1">
      <alignment horizontal="center" wrapText="1"/>
    </xf>
    <xf numFmtId="1" fontId="0" fillId="0" borderId="1" xfId="0" applyNumberFormat="1" applyBorder="1"/>
    <xf numFmtId="1" fontId="0" fillId="0" borderId="0" xfId="0" applyNumberFormat="1" applyBorder="1"/>
    <xf numFmtId="0" fontId="4" fillId="5" borderId="1" xfId="0" applyFont="1" applyFill="1" applyBorder="1" applyAlignment="1">
      <alignment horizontal="center"/>
    </xf>
    <xf numFmtId="1" fontId="4" fillId="5" borderId="1" xfId="0" applyNumberFormat="1" applyFont="1" applyFill="1" applyBorder="1" applyAlignment="1">
      <alignment horizontal="center"/>
    </xf>
    <xf numFmtId="0" fontId="0" fillId="0" borderId="0" xfId="0" applyBorder="1" applyAlignment="1">
      <alignment wrapText="1"/>
    </xf>
    <xf numFmtId="9" fontId="0" fillId="0" borderId="0" xfId="0" applyNumberFormat="1" applyBorder="1"/>
    <xf numFmtId="0" fontId="0" fillId="0" borderId="0" xfId="0" applyFill="1" applyAlignment="1">
      <alignment horizontal="right" wrapText="1"/>
    </xf>
    <xf numFmtId="0" fontId="1" fillId="0" borderId="2" xfId="0" applyFont="1" applyBorder="1" applyAlignment="1">
      <alignment horizontal="center"/>
    </xf>
    <xf numFmtId="1" fontId="0" fillId="0" borderId="2" xfId="0" applyNumberFormat="1" applyBorder="1"/>
    <xf numFmtId="0" fontId="1" fillId="0" borderId="0" xfId="0" applyFont="1" applyBorder="1" applyAlignment="1">
      <alignment horizontal="center"/>
    </xf>
    <xf numFmtId="0" fontId="1" fillId="0" borderId="6" xfId="0" applyFont="1" applyBorder="1" applyAlignment="1">
      <alignment horizontal="center"/>
    </xf>
    <xf numFmtId="1" fontId="0" fillId="0" borderId="6" xfId="0" applyNumberFormat="1" applyBorder="1"/>
    <xf numFmtId="2" fontId="1" fillId="5" borderId="1" xfId="0" applyNumberFormat="1" applyFont="1" applyFill="1" applyBorder="1" applyAlignment="1">
      <alignment horizontal="center"/>
    </xf>
    <xf numFmtId="0" fontId="0" fillId="0" borderId="0" xfId="0" applyFill="1" applyBorder="1" applyAlignment="1">
      <alignment wrapText="1"/>
    </xf>
    <xf numFmtId="10" fontId="1" fillId="5" borderId="1" xfId="0" applyNumberFormat="1" applyFont="1" applyFill="1" applyBorder="1" applyAlignment="1">
      <alignment horizontal="center"/>
    </xf>
    <xf numFmtId="0" fontId="4" fillId="5" borderId="1" xfId="0" applyFont="1" applyFill="1" applyBorder="1" applyAlignment="1">
      <alignment horizontal="center" wrapText="1"/>
    </xf>
    <xf numFmtId="9" fontId="4" fillId="5" borderId="1" xfId="1" applyFont="1" applyFill="1" applyBorder="1" applyAlignment="1">
      <alignment horizontal="center" wrapText="1"/>
    </xf>
    <xf numFmtId="9" fontId="4" fillId="5" borderId="1" xfId="1" applyNumberFormat="1" applyFont="1" applyFill="1" applyBorder="1" applyAlignment="1">
      <alignment horizontal="center" wrapText="1"/>
    </xf>
    <xf numFmtId="10" fontId="4" fillId="5" borderId="1" xfId="0" applyNumberFormat="1" applyFont="1" applyFill="1" applyBorder="1" applyAlignment="1">
      <alignment horizontal="center"/>
    </xf>
    <xf numFmtId="0" fontId="4" fillId="0" borderId="0" xfId="0" applyFont="1" applyAlignment="1">
      <alignment horizontal="center"/>
    </xf>
    <xf numFmtId="0" fontId="4" fillId="6" borderId="1" xfId="0" applyFont="1" applyFill="1" applyBorder="1" applyAlignment="1">
      <alignment horizontal="center"/>
    </xf>
    <xf numFmtId="2" fontId="4" fillId="5" borderId="1" xfId="0" applyNumberFormat="1" applyFont="1" applyFill="1" applyBorder="1" applyAlignment="1">
      <alignment horizontal="center" wrapText="1"/>
    </xf>
    <xf numFmtId="1" fontId="0" fillId="5" borderId="1" xfId="0" applyNumberFormat="1" applyFill="1" applyBorder="1" applyAlignment="1">
      <alignment horizontal="left"/>
    </xf>
    <xf numFmtId="0" fontId="4" fillId="5" borderId="1" xfId="0" applyFont="1" applyFill="1" applyBorder="1" applyAlignment="1">
      <alignment horizontal="right"/>
    </xf>
    <xf numFmtId="1" fontId="0" fillId="0" borderId="4" xfId="0" applyNumberFormat="1" applyBorder="1"/>
    <xf numFmtId="0" fontId="0" fillId="0" borderId="0" xfId="0" applyAlignment="1">
      <alignment wrapText="1"/>
    </xf>
    <xf numFmtId="0" fontId="4" fillId="5" borderId="0" xfId="0" applyFont="1" applyFill="1" applyAlignment="1">
      <alignment horizontal="right"/>
    </xf>
    <xf numFmtId="0" fontId="0" fillId="8" borderId="0" xfId="0" applyFill="1" applyAlignment="1">
      <alignment wrapText="1"/>
    </xf>
    <xf numFmtId="0" fontId="0" fillId="8" borderId="0" xfId="0" applyFill="1"/>
    <xf numFmtId="0" fontId="0" fillId="8" borderId="0" xfId="0" applyFill="1" applyAlignment="1">
      <alignment horizontal="left" wrapText="1"/>
    </xf>
    <xf numFmtId="0" fontId="0" fillId="0" borderId="0" xfId="0" applyFill="1" applyAlignment="1"/>
    <xf numFmtId="0" fontId="1" fillId="0" borderId="0" xfId="0" applyFont="1" applyAlignment="1">
      <alignment horizontal="right"/>
    </xf>
    <xf numFmtId="167" fontId="0" fillId="0" borderId="0" xfId="0" applyNumberFormat="1" applyFill="1" applyAlignment="1">
      <alignment horizontal="left" wrapText="1"/>
    </xf>
    <xf numFmtId="0" fontId="1" fillId="0" borderId="0" xfId="0" applyFont="1" applyFill="1" applyAlignment="1">
      <alignment horizontal="right"/>
    </xf>
    <xf numFmtId="165" fontId="0" fillId="0" borderId="0" xfId="2" applyFont="1" applyFill="1" applyAlignment="1">
      <alignment horizontal="left"/>
    </xf>
    <xf numFmtId="165" fontId="0" fillId="0" borderId="0" xfId="2" applyFont="1" applyFill="1" applyAlignment="1"/>
    <xf numFmtId="0" fontId="0" fillId="0" borderId="1" xfId="0" applyFill="1" applyBorder="1" applyAlignment="1">
      <alignment horizontal="right" wrapText="1"/>
    </xf>
    <xf numFmtId="165" fontId="0" fillId="0" borderId="1" xfId="2" applyFont="1" applyFill="1" applyBorder="1" applyAlignment="1">
      <alignment horizontal="left" wrapText="1"/>
    </xf>
    <xf numFmtId="165" fontId="0" fillId="5" borderId="1" xfId="2" applyFont="1" applyFill="1" applyBorder="1" applyAlignment="1">
      <alignment horizontal="left" wrapText="1"/>
    </xf>
    <xf numFmtId="0" fontId="0" fillId="0" borderId="1" xfId="0" applyFill="1" applyBorder="1" applyAlignment="1">
      <alignment horizontal="right"/>
    </xf>
    <xf numFmtId="0" fontId="0" fillId="0" borderId="1" xfId="0" applyBorder="1" applyAlignment="1">
      <alignment horizontal="right"/>
    </xf>
    <xf numFmtId="0" fontId="0" fillId="0" borderId="1" xfId="0" applyBorder="1" applyAlignment="1">
      <alignment horizontal="center"/>
    </xf>
    <xf numFmtId="1" fontId="0" fillId="4" borderId="1" xfId="0" applyNumberFormat="1" applyFill="1" applyBorder="1"/>
    <xf numFmtId="0" fontId="0" fillId="4" borderId="1" xfId="0" applyFill="1" applyBorder="1" applyAlignment="1">
      <alignment horizontal="left" wrapText="1"/>
    </xf>
    <xf numFmtId="9" fontId="0" fillId="4" borderId="1" xfId="1" applyFont="1" applyFill="1" applyBorder="1" applyAlignment="1">
      <alignment horizontal="left" wrapText="1"/>
    </xf>
    <xf numFmtId="166" fontId="0" fillId="4" borderId="1" xfId="1" applyNumberFormat="1" applyFont="1" applyFill="1" applyBorder="1" applyAlignment="1">
      <alignment horizontal="left" wrapText="1"/>
    </xf>
    <xf numFmtId="0" fontId="0" fillId="4" borderId="1" xfId="0" applyFill="1" applyBorder="1" applyAlignment="1">
      <alignment horizontal="right" wrapText="1"/>
    </xf>
    <xf numFmtId="0" fontId="0" fillId="4" borderId="1" xfId="0" applyFill="1" applyBorder="1" applyAlignment="1">
      <alignment horizontal="right"/>
    </xf>
    <xf numFmtId="9" fontId="0" fillId="4" borderId="1" xfId="0" applyNumberFormat="1" applyFill="1" applyBorder="1" applyAlignment="1">
      <alignment horizontal="left"/>
    </xf>
    <xf numFmtId="165" fontId="0" fillId="4" borderId="1" xfId="2" applyFont="1" applyFill="1" applyBorder="1" applyAlignment="1"/>
    <xf numFmtId="0" fontId="0" fillId="5" borderId="1" xfId="0" applyFill="1" applyBorder="1" applyAlignment="1">
      <alignment horizontal="right"/>
    </xf>
    <xf numFmtId="165" fontId="0" fillId="5" borderId="1" xfId="2" applyFont="1" applyFill="1" applyBorder="1" applyAlignment="1"/>
    <xf numFmtId="0" fontId="0" fillId="5" borderId="1" xfId="0" applyFill="1" applyBorder="1" applyAlignment="1">
      <alignment horizontal="right" wrapText="1"/>
    </xf>
    <xf numFmtId="165" fontId="0" fillId="0" borderId="1" xfId="2" applyFont="1" applyFill="1" applyBorder="1" applyAlignment="1">
      <alignment horizontal="left"/>
    </xf>
    <xf numFmtId="0" fontId="0" fillId="0" borderId="1" xfId="0" applyFill="1" applyBorder="1" applyAlignment="1"/>
    <xf numFmtId="44" fontId="0" fillId="4" borderId="1" xfId="0" applyNumberFormat="1" applyFill="1" applyBorder="1" applyAlignment="1">
      <alignment horizontal="left" wrapText="1"/>
    </xf>
    <xf numFmtId="0" fontId="0" fillId="0" borderId="0" xfId="0" applyBorder="1" applyAlignment="1">
      <alignment horizontal="center"/>
    </xf>
    <xf numFmtId="9" fontId="0" fillId="0" borderId="0" xfId="0" applyNumberFormat="1" applyBorder="1" applyAlignment="1">
      <alignment horizontal="center"/>
    </xf>
    <xf numFmtId="0" fontId="0" fillId="5" borderId="1" xfId="0" applyFill="1" applyBorder="1" applyAlignment="1">
      <alignment horizontal="center"/>
    </xf>
    <xf numFmtId="0" fontId="0" fillId="5" borderId="1" xfId="0" applyFill="1" applyBorder="1" applyAlignment="1">
      <alignment horizontal="center" wrapText="1"/>
    </xf>
    <xf numFmtId="9" fontId="0" fillId="6" borderId="1" xfId="0" applyNumberFormat="1" applyFill="1" applyBorder="1" applyAlignment="1">
      <alignment horizontal="center"/>
    </xf>
    <xf numFmtId="0" fontId="0" fillId="6" borderId="1" xfId="0" applyFill="1" applyBorder="1" applyAlignment="1">
      <alignment horizontal="center"/>
    </xf>
    <xf numFmtId="0" fontId="0" fillId="6" borderId="1" xfId="0" applyFill="1" applyBorder="1" applyAlignment="1">
      <alignment horizontal="center" wrapText="1"/>
    </xf>
    <xf numFmtId="10" fontId="0" fillId="5" borderId="1" xfId="1" applyNumberFormat="1" applyFont="1" applyFill="1" applyBorder="1"/>
    <xf numFmtId="0" fontId="0" fillId="5" borderId="1" xfId="0" applyFill="1" applyBorder="1"/>
    <xf numFmtId="0" fontId="0" fillId="6" borderId="1" xfId="0" applyFill="1" applyBorder="1" applyAlignment="1">
      <alignment horizontal="right"/>
    </xf>
    <xf numFmtId="165" fontId="0" fillId="6" borderId="1" xfId="2" applyFont="1" applyFill="1" applyBorder="1"/>
    <xf numFmtId="168" fontId="0" fillId="5" borderId="1" xfId="1" applyNumberFormat="1" applyFont="1" applyFill="1" applyBorder="1"/>
    <xf numFmtId="0" fontId="0" fillId="0" borderId="0" xfId="0" applyFill="1" applyBorder="1" applyAlignment="1">
      <alignment horizontal="center"/>
    </xf>
    <xf numFmtId="10" fontId="0" fillId="0" borderId="0" xfId="1" applyNumberFormat="1" applyFont="1" applyFill="1" applyBorder="1"/>
    <xf numFmtId="0" fontId="0" fillId="0" borderId="0" xfId="0" applyFill="1" applyBorder="1"/>
    <xf numFmtId="0" fontId="0" fillId="0" borderId="1" xfId="0" applyFill="1" applyBorder="1"/>
    <xf numFmtId="2" fontId="0" fillId="0" borderId="1" xfId="0" applyNumberFormat="1" applyBorder="1"/>
    <xf numFmtId="169" fontId="0" fillId="0" borderId="8" xfId="0" applyNumberFormat="1" applyFill="1" applyBorder="1"/>
    <xf numFmtId="2" fontId="0" fillId="0" borderId="1" xfId="0" applyNumberFormat="1" applyBorder="1" applyAlignment="1">
      <alignment horizontal="center"/>
    </xf>
    <xf numFmtId="2" fontId="0" fillId="5" borderId="1" xfId="0" applyNumberFormat="1" applyFill="1" applyBorder="1" applyAlignment="1">
      <alignment horizontal="center"/>
    </xf>
    <xf numFmtId="170" fontId="0" fillId="5" borderId="1" xfId="0" applyNumberFormat="1" applyFill="1" applyBorder="1" applyAlignment="1">
      <alignment horizontal="center"/>
    </xf>
    <xf numFmtId="10" fontId="0" fillId="5" borderId="1" xfId="0" applyNumberFormat="1" applyFill="1" applyBorder="1" applyAlignment="1">
      <alignment horizontal="center"/>
    </xf>
    <xf numFmtId="10" fontId="0" fillId="5" borderId="1" xfId="1" applyNumberFormat="1" applyFont="1" applyFill="1" applyBorder="1" applyAlignment="1">
      <alignment horizontal="center"/>
    </xf>
    <xf numFmtId="0" fontId="2" fillId="6" borderId="1" xfId="0" applyFont="1" applyFill="1" applyBorder="1" applyAlignment="1">
      <alignment horizontal="center"/>
    </xf>
    <xf numFmtId="10" fontId="2" fillId="6" borderId="1" xfId="1" applyNumberFormat="1" applyFont="1" applyFill="1" applyBorder="1" applyAlignment="1">
      <alignment horizontal="center"/>
    </xf>
    <xf numFmtId="0" fontId="4" fillId="0" borderId="0" xfId="0" applyFont="1" applyAlignment="1">
      <alignment horizontal="right"/>
    </xf>
    <xf numFmtId="10" fontId="0" fillId="9" borderId="13" xfId="0" applyNumberFormat="1" applyFill="1" applyBorder="1"/>
    <xf numFmtId="10" fontId="0" fillId="10" borderId="16" xfId="0" applyNumberFormat="1" applyFill="1" applyBorder="1"/>
    <xf numFmtId="168" fontId="0" fillId="9" borderId="13" xfId="0" applyNumberFormat="1" applyFill="1" applyBorder="1"/>
    <xf numFmtId="10" fontId="0" fillId="10" borderId="18" xfId="0" applyNumberFormat="1" applyFill="1" applyBorder="1"/>
    <xf numFmtId="0" fontId="2" fillId="0" borderId="0" xfId="0" applyFont="1" applyFill="1" applyBorder="1" applyAlignment="1">
      <alignment horizontal="center"/>
    </xf>
    <xf numFmtId="0" fontId="2" fillId="0" borderId="0" xfId="0" applyFont="1" applyFill="1" applyBorder="1" applyAlignment="1">
      <alignment horizontal="right"/>
    </xf>
    <xf numFmtId="0" fontId="4" fillId="4" borderId="0" xfId="0" applyFont="1" applyFill="1" applyAlignment="1">
      <alignment horizontal="right"/>
    </xf>
    <xf numFmtId="0" fontId="4" fillId="0" borderId="0" xfId="0" applyFont="1" applyFill="1" applyAlignment="1">
      <alignment horizontal="right"/>
    </xf>
    <xf numFmtId="0" fontId="0" fillId="0" borderId="0" xfId="0" applyFill="1"/>
    <xf numFmtId="0" fontId="0" fillId="0" borderId="0" xfId="0" applyAlignment="1"/>
    <xf numFmtId="0" fontId="4" fillId="2" borderId="0" xfId="0" applyFont="1" applyFill="1" applyAlignment="1">
      <alignment horizontal="right"/>
    </xf>
    <xf numFmtId="0" fontId="4" fillId="8" borderId="0" xfId="0" applyFont="1" applyFill="1"/>
    <xf numFmtId="0" fontId="4" fillId="11" borderId="0" xfId="0" applyFont="1" applyFill="1" applyAlignment="1">
      <alignment horizontal="center"/>
    </xf>
    <xf numFmtId="2"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0" fontId="2" fillId="0" borderId="22" xfId="0" applyFont="1"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9" fontId="2" fillId="5" borderId="2" xfId="0" applyNumberFormat="1" applyFont="1" applyFill="1" applyBorder="1" applyAlignment="1">
      <alignment horizontal="center" vertical="center" wrapText="1"/>
    </xf>
    <xf numFmtId="0" fontId="0" fillId="0" borderId="7" xfId="0" applyBorder="1" applyAlignment="1">
      <alignment horizontal="center"/>
    </xf>
    <xf numFmtId="0" fontId="0" fillId="12" borderId="1" xfId="0" applyFill="1" applyBorder="1" applyAlignment="1">
      <alignment horizontal="center" vertical="center" wrapText="1"/>
    </xf>
    <xf numFmtId="2" fontId="0" fillId="12" borderId="1" xfId="0" applyNumberFormat="1" applyFill="1" applyBorder="1" applyAlignment="1">
      <alignment horizontal="center" vertical="center" wrapText="1"/>
    </xf>
    <xf numFmtId="165" fontId="4" fillId="12" borderId="1" xfId="2" applyFont="1" applyFill="1" applyBorder="1" applyAlignment="1">
      <alignment horizontal="center"/>
    </xf>
    <xf numFmtId="2" fontId="0" fillId="5" borderId="1" xfId="0" applyNumberFormat="1" applyFill="1" applyBorder="1" applyAlignment="1">
      <alignment horizontal="center" wrapText="1"/>
    </xf>
    <xf numFmtId="0" fontId="0" fillId="0" borderId="1" xfId="0" applyBorder="1" applyAlignment="1">
      <alignment horizontal="left"/>
    </xf>
    <xf numFmtId="0" fontId="0" fillId="0" borderId="5" xfId="0" applyBorder="1" applyAlignment="1">
      <alignment horizontal="center"/>
    </xf>
    <xf numFmtId="0" fontId="2" fillId="0" borderId="1" xfId="0" applyFont="1" applyBorder="1" applyAlignment="1">
      <alignment horizontal="center"/>
    </xf>
    <xf numFmtId="0" fontId="4" fillId="0" borderId="1"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2" fillId="0" borderId="1" xfId="0" applyFont="1" applyBorder="1" applyAlignment="1">
      <alignment horizontal="center"/>
    </xf>
    <xf numFmtId="0" fontId="0" fillId="0" borderId="1" xfId="0" applyBorder="1" applyAlignment="1">
      <alignment horizontal="center"/>
    </xf>
    <xf numFmtId="0" fontId="2" fillId="0" borderId="2" xfId="0" applyFont="1" applyBorder="1" applyAlignment="1">
      <alignment horizontal="center"/>
    </xf>
    <xf numFmtId="0" fontId="4" fillId="0" borderId="1" xfId="0" applyFont="1" applyBorder="1" applyAlignment="1">
      <alignment horizontal="center"/>
    </xf>
    <xf numFmtId="0" fontId="0" fillId="5" borderId="1" xfId="0" applyFill="1" applyBorder="1" applyAlignment="1">
      <alignment horizontal="center" wrapText="1"/>
    </xf>
    <xf numFmtId="10" fontId="0" fillId="0" borderId="1" xfId="1" applyNumberFormat="1" applyFont="1" applyBorder="1"/>
    <xf numFmtId="0" fontId="0" fillId="0" borderId="4" xfId="0" applyBorder="1" applyAlignment="1">
      <alignment horizontal="right"/>
    </xf>
    <xf numFmtId="9" fontId="0" fillId="0" borderId="1" xfId="1" applyFont="1" applyBorder="1"/>
    <xf numFmtId="166" fontId="0" fillId="0" borderId="1" xfId="1" applyNumberFormat="1" applyFont="1" applyBorder="1"/>
    <xf numFmtId="0" fontId="2" fillId="0" borderId="0" xfId="0" applyFont="1"/>
    <xf numFmtId="2" fontId="0" fillId="0" borderId="1" xfId="1" applyNumberFormat="1" applyFont="1" applyBorder="1" applyAlignment="1">
      <alignment horizontal="center"/>
    </xf>
    <xf numFmtId="9" fontId="0" fillId="0" borderId="1" xfId="1" applyFont="1" applyFill="1" applyBorder="1" applyAlignment="1">
      <alignment horizontal="center"/>
    </xf>
    <xf numFmtId="9" fontId="0" fillId="0" borderId="1" xfId="1" applyFont="1" applyBorder="1" applyAlignment="1">
      <alignment horizontal="center"/>
    </xf>
    <xf numFmtId="0" fontId="0" fillId="0" borderId="1" xfId="0" applyFill="1" applyBorder="1" applyAlignment="1">
      <alignment horizontal="center"/>
    </xf>
    <xf numFmtId="0" fontId="2" fillId="0" borderId="4" xfId="0" applyFont="1" applyBorder="1" applyAlignment="1">
      <alignment horizontal="center"/>
    </xf>
    <xf numFmtId="0" fontId="0" fillId="0" borderId="22" xfId="0" applyBorder="1" applyAlignment="1">
      <alignment horizontal="center"/>
    </xf>
    <xf numFmtId="0" fontId="2" fillId="0" borderId="5" xfId="0" applyFont="1" applyBorder="1" applyAlignment="1">
      <alignment horizontal="center"/>
    </xf>
    <xf numFmtId="0" fontId="0" fillId="0" borderId="4" xfId="0" applyFill="1" applyBorder="1" applyAlignment="1">
      <alignment horizontal="center"/>
    </xf>
    <xf numFmtId="0" fontId="2" fillId="0" borderId="1" xfId="0" applyFont="1" applyFill="1" applyBorder="1" applyAlignment="1">
      <alignment horizontal="center"/>
    </xf>
    <xf numFmtId="0" fontId="0" fillId="0" borderId="22" xfId="0" applyFill="1" applyBorder="1" applyAlignment="1">
      <alignment horizontal="center"/>
    </xf>
    <xf numFmtId="0" fontId="2" fillId="0" borderId="5" xfId="0" applyFont="1" applyFill="1" applyBorder="1" applyAlignment="1">
      <alignment horizontal="center"/>
    </xf>
    <xf numFmtId="10" fontId="4" fillId="5" borderId="1" xfId="1" applyNumberFormat="1" applyFont="1" applyFill="1" applyBorder="1" applyAlignment="1">
      <alignment horizontal="center"/>
    </xf>
    <xf numFmtId="0" fontId="4" fillId="5" borderId="1" xfId="0" applyFont="1" applyFill="1" applyBorder="1" applyAlignment="1">
      <alignment horizontal="center"/>
    </xf>
    <xf numFmtId="2" fontId="4" fillId="5" borderId="1" xfId="0" applyNumberFormat="1" applyFont="1" applyFill="1" applyBorder="1" applyAlignment="1">
      <alignment horizontal="center"/>
    </xf>
    <xf numFmtId="0" fontId="0" fillId="0" borderId="0" xfId="0" applyFont="1" applyFill="1" applyAlignment="1">
      <alignment horizontal="left" wrapText="1"/>
    </xf>
    <xf numFmtId="0" fontId="0" fillId="4" borderId="4" xfId="0" applyFill="1" applyBorder="1" applyAlignment="1">
      <alignment horizontal="right" wrapText="1"/>
    </xf>
    <xf numFmtId="165" fontId="0" fillId="4" borderId="4" xfId="2" applyFont="1" applyFill="1" applyBorder="1" applyAlignment="1">
      <alignment horizontal="left" wrapText="1"/>
    </xf>
    <xf numFmtId="0" fontId="0" fillId="0" borderId="23" xfId="0" applyFill="1" applyBorder="1" applyAlignment="1">
      <alignment horizontal="right" wrapText="1"/>
    </xf>
    <xf numFmtId="165" fontId="0" fillId="0" borderId="23" xfId="2" applyFont="1" applyFill="1" applyBorder="1" applyAlignment="1">
      <alignment horizontal="left" wrapText="1"/>
    </xf>
    <xf numFmtId="0" fontId="4" fillId="13" borderId="1" xfId="0" applyFont="1" applyFill="1" applyBorder="1" applyAlignment="1">
      <alignment horizontal="right"/>
    </xf>
    <xf numFmtId="165" fontId="0" fillId="13" borderId="1" xfId="0" applyNumberFormat="1" applyFill="1" applyBorder="1" applyAlignment="1"/>
    <xf numFmtId="0" fontId="4" fillId="13" borderId="1" xfId="0" applyFont="1" applyFill="1" applyBorder="1" applyAlignment="1">
      <alignment horizontal="right" wrapText="1"/>
    </xf>
    <xf numFmtId="165" fontId="0" fillId="13" borderId="1" xfId="0" applyNumberFormat="1" applyFill="1" applyBorder="1" applyAlignment="1">
      <alignment wrapText="1"/>
    </xf>
    <xf numFmtId="10" fontId="0" fillId="13" borderId="1" xfId="0" applyNumberFormat="1" applyFill="1" applyBorder="1" applyAlignment="1">
      <alignment horizontal="center"/>
    </xf>
    <xf numFmtId="10" fontId="0" fillId="13" borderId="1" xfId="1" applyNumberFormat="1" applyFont="1" applyFill="1" applyBorder="1" applyAlignment="1">
      <alignment horizontal="center"/>
    </xf>
    <xf numFmtId="0" fontId="1" fillId="13" borderId="1" xfId="0" applyFont="1" applyFill="1" applyBorder="1" applyAlignment="1">
      <alignment horizontal="center"/>
    </xf>
    <xf numFmtId="0" fontId="4" fillId="13" borderId="1" xfId="0" applyFont="1" applyFill="1" applyBorder="1" applyAlignment="1">
      <alignment horizontal="center"/>
    </xf>
    <xf numFmtId="10" fontId="4" fillId="13" borderId="1" xfId="0" applyNumberFormat="1" applyFont="1" applyFill="1" applyBorder="1" applyAlignment="1">
      <alignment horizontal="center"/>
    </xf>
    <xf numFmtId="10" fontId="4" fillId="13" borderId="1" xfId="1" applyNumberFormat="1" applyFont="1" applyFill="1" applyBorder="1" applyAlignment="1">
      <alignment horizontal="center"/>
    </xf>
    <xf numFmtId="0" fontId="4" fillId="0" borderId="0" xfId="0" applyFont="1" applyFill="1" applyBorder="1" applyAlignment="1">
      <alignment horizontal="center"/>
    </xf>
    <xf numFmtId="10" fontId="4" fillId="0" borderId="0" xfId="1" applyNumberFormat="1" applyFont="1" applyFill="1" applyBorder="1" applyAlignment="1">
      <alignment horizontal="center"/>
    </xf>
    <xf numFmtId="0" fontId="1" fillId="0" borderId="0" xfId="0" applyFont="1" applyFill="1" applyBorder="1" applyAlignment="1">
      <alignment horizontal="center"/>
    </xf>
    <xf numFmtId="10" fontId="0" fillId="0" borderId="0" xfId="1" applyNumberFormat="1" applyFont="1" applyFill="1" applyBorder="1" applyAlignment="1">
      <alignment horizontal="center"/>
    </xf>
    <xf numFmtId="0" fontId="0" fillId="0" borderId="2" xfId="0"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1" xfId="0" applyFont="1" applyFill="1" applyBorder="1" applyAlignment="1">
      <alignment horizontal="center" wrapText="1"/>
    </xf>
    <xf numFmtId="0" fontId="4" fillId="0" borderId="1" xfId="0" applyFont="1"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0" fontId="4" fillId="5" borderId="1" xfId="0" applyFont="1" applyFill="1" applyBorder="1" applyAlignment="1">
      <alignment horizontal="center"/>
    </xf>
    <xf numFmtId="0" fontId="0" fillId="0" borderId="1" xfId="0" applyFill="1" applyBorder="1" applyAlignment="1">
      <alignment horizontal="center"/>
    </xf>
    <xf numFmtId="10" fontId="0" fillId="0" borderId="1" xfId="0" applyNumberFormat="1" applyBorder="1" applyAlignment="1">
      <alignment horizontal="center"/>
    </xf>
    <xf numFmtId="0" fontId="2" fillId="0" borderId="0" xfId="0" applyFont="1" applyBorder="1" applyAlignment="1">
      <alignment horizontal="center"/>
    </xf>
    <xf numFmtId="0" fontId="0" fillId="0" borderId="1" xfId="0" applyBorder="1" applyAlignment="1">
      <alignment horizontal="center" vertical="center" wrapText="1"/>
    </xf>
    <xf numFmtId="0" fontId="0" fillId="0" borderId="8" xfId="0" applyFill="1" applyBorder="1" applyAlignment="1">
      <alignment horizontal="center"/>
    </xf>
    <xf numFmtId="10" fontId="0" fillId="0" borderId="0" xfId="1" applyNumberFormat="1" applyFont="1" applyBorder="1" applyAlignment="1">
      <alignment horizontal="center"/>
    </xf>
    <xf numFmtId="1" fontId="0" fillId="0" borderId="0" xfId="0" applyNumberFormat="1" applyBorder="1" applyAlignment="1">
      <alignment horizontal="center"/>
    </xf>
    <xf numFmtId="0" fontId="0" fillId="8" borderId="0" xfId="0" applyFill="1" applyAlignment="1"/>
    <xf numFmtId="9" fontId="0" fillId="0" borderId="0" xfId="0" applyNumberFormat="1"/>
    <xf numFmtId="10" fontId="0" fillId="0" borderId="0" xfId="0" applyNumberFormat="1" applyBorder="1"/>
    <xf numFmtId="10" fontId="2" fillId="0" borderId="1" xfId="0" applyNumberFormat="1" applyFont="1" applyBorder="1" applyAlignment="1">
      <alignment horizontal="center"/>
    </xf>
    <xf numFmtId="0" fontId="0" fillId="0" borderId="1" xfId="0" applyFill="1" applyBorder="1" applyAlignment="1">
      <alignment horizontal="center" vertical="center" wrapText="1"/>
    </xf>
    <xf numFmtId="166" fontId="2" fillId="5" borderId="2" xfId="0" applyNumberFormat="1" applyFont="1" applyFill="1" applyBorder="1" applyAlignment="1">
      <alignment horizontal="center" vertical="center" wrapText="1"/>
    </xf>
    <xf numFmtId="1" fontId="0" fillId="5" borderId="1" xfId="0" applyNumberFormat="1" applyFill="1" applyBorder="1" applyAlignment="1">
      <alignment horizontal="center" wrapText="1"/>
    </xf>
    <xf numFmtId="2" fontId="0" fillId="0" borderId="1" xfId="0" applyNumberFormat="1" applyFill="1" applyBorder="1" applyAlignment="1">
      <alignment horizontal="center" vertical="center" wrapText="1"/>
    </xf>
    <xf numFmtId="1" fontId="0" fillId="0" borderId="1" xfId="0" applyNumberFormat="1" applyBorder="1" applyAlignment="1">
      <alignment horizontal="center" vertical="center" wrapText="1"/>
    </xf>
    <xf numFmtId="1" fontId="0" fillId="0"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wrapText="1"/>
    </xf>
    <xf numFmtId="0" fontId="4" fillId="14" borderId="1" xfId="0" applyFont="1" applyFill="1" applyBorder="1" applyAlignment="1">
      <alignment horizontal="center"/>
    </xf>
    <xf numFmtId="165" fontId="4" fillId="14" borderId="1" xfId="2" applyFont="1" applyFill="1" applyBorder="1" applyAlignment="1">
      <alignment horizontal="center"/>
    </xf>
    <xf numFmtId="0" fontId="0" fillId="0" borderId="0" xfId="0" applyBorder="1" applyAlignment="1">
      <alignment vertical="center" wrapText="1"/>
    </xf>
    <xf numFmtId="0" fontId="2" fillId="0" borderId="0" xfId="0" applyFont="1" applyFill="1" applyBorder="1" applyAlignment="1"/>
    <xf numFmtId="10" fontId="4" fillId="14" borderId="1" xfId="0" applyNumberFormat="1" applyFont="1" applyFill="1" applyBorder="1" applyAlignment="1">
      <alignment horizontal="center"/>
    </xf>
    <xf numFmtId="0" fontId="0" fillId="0" borderId="0" xfId="0" applyFill="1" applyBorder="1" applyAlignment="1">
      <alignment vertical="center" wrapText="1"/>
    </xf>
    <xf numFmtId="0" fontId="0" fillId="0" borderId="1" xfId="0" applyBorder="1" applyAlignment="1">
      <alignment horizontal="center" vertical="center"/>
    </xf>
    <xf numFmtId="10" fontId="4" fillId="6" borderId="1" xfId="0" applyNumberFormat="1" applyFont="1" applyFill="1" applyBorder="1" applyAlignment="1">
      <alignment horizontal="center"/>
    </xf>
    <xf numFmtId="0" fontId="4" fillId="0" borderId="0" xfId="0" applyFont="1" applyFill="1" applyAlignment="1"/>
    <xf numFmtId="0" fontId="2" fillId="0" borderId="1" xfId="0" applyFont="1"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0" fontId="4" fillId="14" borderId="1" xfId="0" applyFont="1" applyFill="1" applyBorder="1" applyAlignment="1">
      <alignment horizontal="center"/>
    </xf>
    <xf numFmtId="0" fontId="4" fillId="5" borderId="1" xfId="0" applyFont="1" applyFill="1" applyBorder="1" applyAlignment="1">
      <alignment horizontal="center"/>
    </xf>
    <xf numFmtId="0" fontId="0" fillId="0" borderId="1" xfId="0" applyFill="1" applyBorder="1" applyAlignment="1">
      <alignment horizontal="center" wrapText="1"/>
    </xf>
    <xf numFmtId="9" fontId="0" fillId="0" borderId="1" xfId="0" applyNumberFormat="1" applyFill="1" applyBorder="1" applyAlignment="1">
      <alignment horizontal="center" wrapText="1"/>
    </xf>
    <xf numFmtId="9" fontId="0" fillId="0" borderId="0" xfId="0" applyNumberFormat="1" applyFill="1" applyBorder="1" applyAlignment="1">
      <alignment horizontal="center" wrapText="1"/>
    </xf>
    <xf numFmtId="0" fontId="0" fillId="0" borderId="0" xfId="0" applyFill="1" applyBorder="1" applyAlignment="1">
      <alignment horizontal="center" wrapText="1"/>
    </xf>
    <xf numFmtId="10" fontId="0" fillId="0" borderId="1" xfId="0" applyNumberFormat="1" applyFill="1" applyBorder="1" applyAlignment="1">
      <alignment horizontal="center" wrapText="1"/>
    </xf>
    <xf numFmtId="10" fontId="0" fillId="0" borderId="1" xfId="1" applyNumberFormat="1" applyFont="1" applyFill="1" applyBorder="1" applyAlignment="1">
      <alignment horizontal="center" wrapText="1"/>
    </xf>
    <xf numFmtId="10" fontId="4" fillId="5" borderId="1" xfId="1" applyNumberFormat="1" applyFont="1" applyFill="1" applyBorder="1" applyAlignment="1">
      <alignment horizontal="center" wrapText="1"/>
    </xf>
    <xf numFmtId="1" fontId="0" fillId="0" borderId="0" xfId="0" applyNumberFormat="1" applyFill="1" applyBorder="1" applyAlignment="1">
      <alignment horizontal="center" wrapText="1"/>
    </xf>
    <xf numFmtId="1" fontId="0" fillId="0" borderId="1" xfId="0" applyNumberFormat="1" applyFill="1" applyBorder="1" applyAlignment="1">
      <alignment horizontal="center" wrapText="1"/>
    </xf>
    <xf numFmtId="1" fontId="0" fillId="0" borderId="1" xfId="0" applyNumberFormat="1" applyBorder="1" applyAlignment="1">
      <alignment horizontal="center"/>
    </xf>
    <xf numFmtId="9" fontId="2" fillId="0" borderId="1" xfId="0" applyNumberFormat="1" applyFont="1" applyBorder="1" applyAlignment="1">
      <alignment horizontal="center"/>
    </xf>
    <xf numFmtId="0" fontId="0" fillId="0" borderId="0" xfId="0" applyFill="1" applyBorder="1" applyAlignment="1"/>
    <xf numFmtId="0" fontId="4" fillId="12" borderId="1" xfId="0" applyFont="1" applyFill="1" applyBorder="1" applyAlignment="1">
      <alignment horizontal="center"/>
    </xf>
    <xf numFmtId="0" fontId="4" fillId="0" borderId="0" xfId="0" applyFont="1" applyBorder="1" applyAlignment="1">
      <alignment horizontal="center"/>
    </xf>
    <xf numFmtId="0" fontId="4" fillId="15" borderId="1" xfId="0" applyFont="1" applyFill="1" applyBorder="1" applyAlignment="1">
      <alignment horizontal="center"/>
    </xf>
    <xf numFmtId="10" fontId="4" fillId="15" borderId="1" xfId="0" applyNumberFormat="1" applyFont="1" applyFill="1" applyBorder="1" applyAlignment="1">
      <alignment horizontal="center"/>
    </xf>
    <xf numFmtId="0" fontId="0" fillId="0" borderId="2" xfId="0"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4" fillId="0" borderId="1" xfId="0" applyFont="1" applyBorder="1" applyAlignment="1">
      <alignment horizontal="center"/>
    </xf>
    <xf numFmtId="0" fontId="0" fillId="0" borderId="1" xfId="0" applyBorder="1" applyAlignment="1">
      <alignment horizontal="center"/>
    </xf>
    <xf numFmtId="0" fontId="0" fillId="0" borderId="1" xfId="0" applyFill="1" applyBorder="1" applyAlignment="1">
      <alignment horizontal="center"/>
    </xf>
    <xf numFmtId="0" fontId="4" fillId="14" borderId="1" xfId="0" applyFont="1" applyFill="1" applyBorder="1" applyAlignment="1">
      <alignment horizontal="center"/>
    </xf>
    <xf numFmtId="0" fontId="0" fillId="0" borderId="1" xfId="0" applyBorder="1" applyAlignment="1">
      <alignment horizontal="center" vertical="center" wrapText="1"/>
    </xf>
    <xf numFmtId="10" fontId="4" fillId="5" borderId="1" xfId="1" applyNumberFormat="1" applyFont="1" applyFill="1" applyBorder="1" applyAlignment="1">
      <alignment horizontal="center" wrapText="1"/>
    </xf>
    <xf numFmtId="2" fontId="0" fillId="0" borderId="0" xfId="0" applyNumberFormat="1"/>
    <xf numFmtId="2" fontId="4" fillId="14" borderId="1" xfId="0" applyNumberFormat="1" applyFont="1" applyFill="1" applyBorder="1" applyAlignment="1">
      <alignment horizontal="center"/>
    </xf>
    <xf numFmtId="1" fontId="0" fillId="0" borderId="0" xfId="0" applyNumberFormat="1"/>
    <xf numFmtId="165" fontId="2" fillId="0" borderId="1" xfId="2" applyFont="1" applyBorder="1" applyAlignment="1">
      <alignment horizontal="center"/>
    </xf>
    <xf numFmtId="44" fontId="0" fillId="0" borderId="0" xfId="0" applyNumberFormat="1"/>
    <xf numFmtId="9" fontId="4" fillId="5" borderId="1" xfId="0" applyNumberFormat="1" applyFont="1" applyFill="1" applyBorder="1" applyAlignment="1">
      <alignment horizontal="center"/>
    </xf>
    <xf numFmtId="0" fontId="2" fillId="14" borderId="1" xfId="0" applyFont="1" applyFill="1" applyBorder="1" applyAlignment="1">
      <alignment horizontal="center" wrapText="1"/>
    </xf>
    <xf numFmtId="165" fontId="2" fillId="0" borderId="0" xfId="2" applyFont="1" applyBorder="1" applyAlignment="1">
      <alignment horizontal="center"/>
    </xf>
    <xf numFmtId="165" fontId="4" fillId="0" borderId="0" xfId="2" applyFont="1" applyFill="1" applyBorder="1" applyAlignment="1">
      <alignment horizontal="center"/>
    </xf>
    <xf numFmtId="9" fontId="4" fillId="15" borderId="1" xfId="0" applyNumberFormat="1" applyFont="1" applyFill="1" applyBorder="1" applyAlignment="1">
      <alignment horizontal="center"/>
    </xf>
    <xf numFmtId="10" fontId="4" fillId="15" borderId="1" xfId="1" applyNumberFormat="1" applyFont="1" applyFill="1" applyBorder="1" applyAlignment="1">
      <alignment horizontal="center"/>
    </xf>
    <xf numFmtId="10" fontId="2" fillId="0" borderId="1" xfId="1" applyNumberFormat="1" applyFont="1" applyBorder="1" applyAlignment="1">
      <alignment horizontal="center"/>
    </xf>
    <xf numFmtId="0" fontId="0" fillId="0" borderId="0" xfId="0" applyBorder="1" applyAlignment="1">
      <alignment horizontal="right"/>
    </xf>
    <xf numFmtId="0" fontId="4" fillId="0" borderId="0" xfId="0" applyFont="1" applyFill="1" applyBorder="1" applyAlignment="1">
      <alignment horizontal="center" wrapText="1"/>
    </xf>
    <xf numFmtId="10" fontId="4" fillId="0" borderId="0" xfId="1" applyNumberFormat="1" applyFont="1" applyFill="1" applyBorder="1" applyAlignment="1">
      <alignment horizontal="center" vertical="center"/>
    </xf>
    <xf numFmtId="168" fontId="4" fillId="14" borderId="1" xfId="1" applyNumberFormat="1" applyFont="1" applyFill="1" applyBorder="1" applyAlignment="1">
      <alignment horizontal="center"/>
    </xf>
    <xf numFmtId="10" fontId="4" fillId="0" borderId="1" xfId="1" applyNumberFormat="1" applyFont="1" applyBorder="1" applyAlignment="1">
      <alignment horizontal="center"/>
    </xf>
    <xf numFmtId="0" fontId="0" fillId="0" borderId="22" xfId="0" applyBorder="1" applyAlignment="1">
      <alignment horizontal="right"/>
    </xf>
    <xf numFmtId="2" fontId="0" fillId="0" borderId="22" xfId="0" applyNumberFormat="1" applyBorder="1"/>
    <xf numFmtId="0" fontId="4" fillId="0" borderId="5" xfId="0" applyFont="1" applyBorder="1" applyAlignment="1">
      <alignment horizontal="center"/>
    </xf>
    <xf numFmtId="10" fontId="4" fillId="0" borderId="5" xfId="1" applyNumberFormat="1" applyFont="1" applyBorder="1" applyAlignment="1">
      <alignment horizontal="center"/>
    </xf>
    <xf numFmtId="0" fontId="2" fillId="0" borderId="0" xfId="0" applyFont="1" applyAlignment="1">
      <alignment horizontal="right"/>
    </xf>
    <xf numFmtId="0" fontId="7" fillId="0" borderId="0" xfId="0" applyFont="1" applyFill="1" applyBorder="1" applyAlignment="1">
      <alignment horizontal="center"/>
    </xf>
    <xf numFmtId="0" fontId="0" fillId="0" borderId="1" xfId="0" applyBorder="1" applyAlignment="1">
      <alignment horizontal="center"/>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0" fillId="8" borderId="0" xfId="0" applyFill="1" applyAlignment="1">
      <alignment horizontal="left"/>
    </xf>
    <xf numFmtId="0" fontId="0" fillId="0" borderId="1" xfId="0" applyBorder="1" applyAlignment="1">
      <alignment horizontal="left"/>
    </xf>
    <xf numFmtId="0" fontId="0" fillId="8" borderId="0" xfId="0" applyFill="1" applyAlignment="1">
      <alignment horizontal="left" wrapText="1"/>
    </xf>
    <xf numFmtId="0" fontId="0" fillId="5" borderId="1" xfId="0" applyFill="1" applyBorder="1" applyAlignment="1">
      <alignment horizontal="center"/>
    </xf>
    <xf numFmtId="0" fontId="4" fillId="12" borderId="3" xfId="0" applyFont="1" applyFill="1" applyBorder="1" applyAlignment="1">
      <alignment horizontal="center" vertical="center"/>
    </xf>
    <xf numFmtId="0" fontId="4" fillId="12" borderId="1" xfId="0" applyFont="1" applyFill="1" applyBorder="1" applyAlignment="1">
      <alignment horizontal="center" vertical="center"/>
    </xf>
    <xf numFmtId="0" fontId="4" fillId="2" borderId="19" xfId="0" applyFont="1" applyFill="1" applyBorder="1" applyAlignment="1">
      <alignment horizontal="center"/>
    </xf>
    <xf numFmtId="0" fontId="4" fillId="2" borderId="20" xfId="0" applyFont="1" applyFill="1" applyBorder="1" applyAlignment="1">
      <alignment horizontal="center"/>
    </xf>
    <xf numFmtId="0" fontId="4" fillId="2" borderId="21" xfId="0" applyFont="1" applyFill="1" applyBorder="1"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3" xfId="0" applyBorder="1" applyAlignment="1">
      <alignment horizontal="center"/>
    </xf>
    <xf numFmtId="0" fontId="0" fillId="6" borderId="1" xfId="0" applyFill="1" applyBorder="1" applyAlignment="1">
      <alignment horizontal="left"/>
    </xf>
    <xf numFmtId="0" fontId="2" fillId="0" borderId="1" xfId="0" applyFont="1" applyBorder="1" applyAlignment="1">
      <alignment horizontal="center"/>
    </xf>
    <xf numFmtId="0" fontId="1" fillId="0" borderId="1" xfId="0" applyFont="1" applyBorder="1" applyAlignment="1">
      <alignment horizontal="center"/>
    </xf>
    <xf numFmtId="0" fontId="0" fillId="3" borderId="0" xfId="0" applyFill="1" applyAlignment="1">
      <alignment horizontal="left" wrapText="1"/>
    </xf>
    <xf numFmtId="164" fontId="0" fillId="0" borderId="1" xfId="0" applyNumberFormat="1"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0" fontId="2" fillId="0" borderId="2" xfId="0" applyFont="1" applyBorder="1" applyAlignment="1">
      <alignment horizontal="center"/>
    </xf>
    <xf numFmtId="0" fontId="4" fillId="7" borderId="0" xfId="0" applyFont="1" applyFill="1" applyAlignment="1">
      <alignment horizontal="center" vertical="center"/>
    </xf>
    <xf numFmtId="0" fontId="4" fillId="7" borderId="7" xfId="0" applyFont="1" applyFill="1" applyBorder="1" applyAlignment="1">
      <alignment horizontal="center" vertical="center"/>
    </xf>
    <xf numFmtId="0" fontId="2" fillId="4" borderId="1" xfId="0" applyFont="1" applyFill="1" applyBorder="1" applyAlignment="1">
      <alignment horizontal="center" wrapText="1"/>
    </xf>
    <xf numFmtId="0" fontId="0" fillId="4" borderId="1" xfId="0" applyFont="1" applyFill="1" applyBorder="1" applyAlignment="1">
      <alignment horizontal="center"/>
    </xf>
    <xf numFmtId="0" fontId="2" fillId="0" borderId="1" xfId="0" applyFont="1" applyFill="1" applyBorder="1" applyAlignment="1">
      <alignment horizontal="center" wrapText="1"/>
    </xf>
    <xf numFmtId="0" fontId="2" fillId="0" borderId="4" xfId="0" applyFont="1" applyFill="1" applyBorder="1" applyAlignment="1">
      <alignment horizontal="center"/>
    </xf>
    <xf numFmtId="0" fontId="4" fillId="0" borderId="1" xfId="0" applyFont="1" applyBorder="1" applyAlignment="1">
      <alignment horizontal="center"/>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2" xfId="0" applyFont="1" applyBorder="1" applyAlignment="1">
      <alignment horizontal="center" vertical="center" wrapText="1"/>
    </xf>
    <xf numFmtId="0" fontId="4" fillId="14" borderId="2" xfId="0" applyFont="1" applyFill="1" applyBorder="1" applyAlignment="1">
      <alignment horizontal="center"/>
    </xf>
    <xf numFmtId="0" fontId="4" fillId="14" borderId="5" xfId="0" applyFont="1" applyFill="1" applyBorder="1" applyAlignment="1">
      <alignment horizontal="center"/>
    </xf>
    <xf numFmtId="0" fontId="4" fillId="14" borderId="3"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4" fillId="6" borderId="1"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4" fillId="14" borderId="1" xfId="0" applyFont="1" applyFill="1" applyBorder="1" applyAlignment="1">
      <alignment horizontal="center"/>
    </xf>
    <xf numFmtId="165" fontId="4" fillId="15" borderId="1" xfId="0" applyNumberFormat="1" applyFont="1" applyFill="1" applyBorder="1" applyAlignment="1">
      <alignment horizontal="center"/>
    </xf>
    <xf numFmtId="165" fontId="1" fillId="15" borderId="1" xfId="0" applyNumberFormat="1" applyFont="1" applyFill="1" applyBorder="1" applyAlignment="1">
      <alignment horizontal="center"/>
    </xf>
    <xf numFmtId="0" fontId="2" fillId="8" borderId="0" xfId="0" applyFont="1" applyFill="1" applyAlignment="1">
      <alignment horizontal="left" wrapText="1"/>
    </xf>
    <xf numFmtId="0" fontId="4" fillId="15" borderId="0" xfId="0" applyFont="1" applyFill="1" applyAlignment="1">
      <alignment horizontal="center" wrapText="1"/>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1" xfId="0" applyFont="1" applyFill="1" applyBorder="1" applyAlignment="1">
      <alignment horizontal="center"/>
    </xf>
    <xf numFmtId="0" fontId="0" fillId="6" borderId="1" xfId="0" applyFill="1" applyBorder="1" applyAlignment="1">
      <alignment horizontal="center"/>
    </xf>
    <xf numFmtId="0" fontId="2" fillId="13" borderId="0" xfId="0" applyFont="1" applyFill="1" applyAlignment="1">
      <alignment horizontal="left" wrapText="1"/>
    </xf>
    <xf numFmtId="0" fontId="2" fillId="13" borderId="0" xfId="0" applyFont="1" applyFill="1" applyAlignment="1">
      <alignment horizontal="left"/>
    </xf>
    <xf numFmtId="0" fontId="0" fillId="5" borderId="1" xfId="0" applyFill="1" applyBorder="1" applyAlignment="1">
      <alignment horizontal="center" wrapText="1"/>
    </xf>
    <xf numFmtId="0" fontId="0" fillId="5" borderId="2" xfId="0" applyFill="1" applyBorder="1" applyAlignment="1">
      <alignment horizontal="center"/>
    </xf>
    <xf numFmtId="0" fontId="0" fillId="5" borderId="3"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10" borderId="14" xfId="0" applyFill="1" applyBorder="1" applyAlignment="1">
      <alignment horizontal="center"/>
    </xf>
    <xf numFmtId="0" fontId="0" fillId="10" borderId="15" xfId="0" applyFill="1" applyBorder="1" applyAlignment="1">
      <alignment horizontal="center"/>
    </xf>
    <xf numFmtId="0" fontId="0" fillId="10" borderId="17" xfId="0" applyFill="1" applyBorder="1" applyAlignment="1">
      <alignment horizontal="center"/>
    </xf>
    <xf numFmtId="0" fontId="0" fillId="10" borderId="0" xfId="0" applyFill="1" applyBorder="1" applyAlignment="1">
      <alignment horizontal="center"/>
    </xf>
    <xf numFmtId="0" fontId="0" fillId="0" borderId="1" xfId="0" applyFill="1" applyBorder="1" applyAlignment="1">
      <alignment horizontal="center"/>
    </xf>
    <xf numFmtId="0" fontId="0" fillId="8" borderId="0" xfId="0" applyFill="1" applyAlignment="1">
      <alignment horizontal="left" vertical="top" wrapText="1"/>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21" xfId="0" applyFont="1" applyFill="1" applyBorder="1" applyAlignment="1">
      <alignment horizontal="center"/>
    </xf>
    <xf numFmtId="0" fontId="0" fillId="8" borderId="0" xfId="0" quotePrefix="1" applyFill="1" applyAlignment="1">
      <alignment horizontal="left" wrapText="1"/>
    </xf>
    <xf numFmtId="0" fontId="0" fillId="8" borderId="0" xfId="0" quotePrefix="1" applyFill="1" applyAlignment="1">
      <alignment horizontal="left"/>
    </xf>
    <xf numFmtId="0" fontId="0" fillId="0" borderId="1" xfId="0" applyBorder="1" applyAlignment="1">
      <alignment horizontal="right" wrapText="1"/>
    </xf>
    <xf numFmtId="0" fontId="4" fillId="5" borderId="1" xfId="0" applyFont="1" applyFill="1" applyBorder="1" applyAlignment="1">
      <alignment horizontal="center" wrapText="1"/>
    </xf>
    <xf numFmtId="10" fontId="4" fillId="5" borderId="1" xfId="1" applyNumberFormat="1" applyFont="1" applyFill="1" applyBorder="1" applyAlignment="1">
      <alignment horizontal="center" vertical="center"/>
    </xf>
    <xf numFmtId="0" fontId="2" fillId="8" borderId="0" xfId="0" quotePrefix="1" applyFont="1" applyFill="1" applyAlignment="1">
      <alignment horizontal="left" wrapText="1"/>
    </xf>
    <xf numFmtId="0" fontId="2" fillId="8" borderId="0" xfId="0" quotePrefix="1" applyFont="1" applyFill="1" applyAlignment="1">
      <alignment horizontal="left"/>
    </xf>
    <xf numFmtId="0" fontId="0" fillId="6" borderId="0" xfId="0" quotePrefix="1" applyFill="1" applyAlignment="1">
      <alignment horizontal="left" wrapText="1"/>
    </xf>
    <xf numFmtId="0" fontId="0" fillId="6" borderId="0" xfId="0" quotePrefix="1" applyFill="1" applyAlignment="1">
      <alignment horizontal="left"/>
    </xf>
    <xf numFmtId="0" fontId="0" fillId="6" borderId="0" xfId="0" applyFont="1" applyFill="1" applyAlignment="1">
      <alignment horizontal="left" wrapText="1"/>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2" fillId="0" borderId="1" xfId="0" applyFont="1" applyFill="1" applyBorder="1" applyAlignment="1">
      <alignment horizontal="center"/>
    </xf>
    <xf numFmtId="0" fontId="4" fillId="8" borderId="0" xfId="0" applyFont="1" applyFill="1" applyAlignment="1">
      <alignment horizontal="left"/>
    </xf>
    <xf numFmtId="0" fontId="2" fillId="14" borderId="1" xfId="0" applyFont="1" applyFill="1" applyBorder="1" applyAlignment="1">
      <alignment horizontal="center"/>
    </xf>
    <xf numFmtId="0" fontId="2" fillId="14" borderId="1" xfId="0" applyFont="1" applyFill="1" applyBorder="1" applyAlignment="1">
      <alignment horizontal="center" wrapText="1"/>
    </xf>
    <xf numFmtId="0" fontId="0" fillId="0" borderId="1" xfId="0" applyFill="1" applyBorder="1" applyAlignment="1">
      <alignment horizontal="center" wrapText="1"/>
    </xf>
    <xf numFmtId="0" fontId="0" fillId="0" borderId="2" xfId="0" applyFill="1" applyBorder="1" applyAlignment="1">
      <alignment horizontal="center" wrapText="1"/>
    </xf>
    <xf numFmtId="10" fontId="0" fillId="0" borderId="1" xfId="1" applyNumberFormat="1" applyFont="1" applyFill="1" applyBorder="1" applyAlignment="1">
      <alignment horizontal="center" wrapText="1"/>
    </xf>
    <xf numFmtId="10" fontId="4" fillId="5" borderId="1" xfId="1" applyNumberFormat="1" applyFont="1" applyFill="1" applyBorder="1" applyAlignment="1">
      <alignment horizontal="center" wrapText="1"/>
    </xf>
    <xf numFmtId="0" fontId="4" fillId="13" borderId="1" xfId="0" applyFont="1" applyFill="1" applyBorder="1" applyAlignment="1">
      <alignment horizontal="center"/>
    </xf>
    <xf numFmtId="0" fontId="4" fillId="14" borderId="1" xfId="0" applyFont="1" applyFill="1" applyBorder="1" applyAlignment="1">
      <alignment horizontal="center" wrapText="1"/>
    </xf>
    <xf numFmtId="10" fontId="2" fillId="14" borderId="1" xfId="0" applyNumberFormat="1" applyFont="1" applyFill="1" applyBorder="1" applyAlignment="1">
      <alignment horizontal="center" wrapText="1"/>
    </xf>
    <xf numFmtId="0" fontId="4" fillId="12" borderId="1" xfId="0" applyFont="1" applyFill="1" applyBorder="1" applyAlignment="1">
      <alignment horizontal="center"/>
    </xf>
  </cellXfs>
  <cellStyles count="3">
    <cellStyle name="Moneda" xfId="2" builtinId="4"/>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BCB54-588D-4DE5-9EC8-8F9565ACC68C}">
  <sheetPr>
    <tabColor rgb="FF0070C0"/>
  </sheetPr>
  <dimension ref="A1:J86"/>
  <sheetViews>
    <sheetView topLeftCell="A22" workbookViewId="0">
      <selection activeCell="G40" sqref="G40"/>
    </sheetView>
  </sheetViews>
  <sheetFormatPr baseColWidth="10" defaultRowHeight="15" x14ac:dyDescent="0.25"/>
  <cols>
    <col min="2" max="2" width="8.5703125" customWidth="1"/>
    <col min="3" max="3" width="16.28515625" customWidth="1"/>
    <col min="4" max="4" width="14.140625" customWidth="1"/>
    <col min="5" max="5" width="19.42578125" customWidth="1"/>
    <col min="6" max="7" width="17.7109375" customWidth="1"/>
  </cols>
  <sheetData>
    <row r="1" spans="1:10" x14ac:dyDescent="0.25">
      <c r="A1" s="108" t="s">
        <v>7</v>
      </c>
    </row>
    <row r="2" spans="1:10" ht="15" customHeight="1" x14ac:dyDescent="0.25">
      <c r="A2" s="109"/>
      <c r="B2" s="269" t="s">
        <v>145</v>
      </c>
      <c r="C2" s="269"/>
      <c r="D2" s="269"/>
      <c r="E2" s="269"/>
      <c r="F2" s="269"/>
      <c r="G2" s="269"/>
      <c r="H2" s="269"/>
      <c r="I2" s="269"/>
      <c r="J2" s="269"/>
    </row>
    <row r="3" spans="1:10" x14ac:dyDescent="0.25">
      <c r="A3" s="109"/>
      <c r="B3" s="269"/>
      <c r="C3" s="269"/>
      <c r="D3" s="269"/>
      <c r="E3" s="269"/>
      <c r="F3" s="269"/>
      <c r="G3" s="269"/>
      <c r="H3" s="269"/>
      <c r="I3" s="269"/>
      <c r="J3" s="269"/>
    </row>
    <row r="4" spans="1:10" x14ac:dyDescent="0.25">
      <c r="A4" s="109"/>
      <c r="B4" s="9"/>
      <c r="C4" s="9"/>
      <c r="D4" s="9"/>
      <c r="E4" s="9"/>
      <c r="F4" s="9"/>
      <c r="G4" s="9"/>
      <c r="H4" s="9"/>
      <c r="I4" s="9"/>
      <c r="J4" s="9"/>
    </row>
    <row r="5" spans="1:10" x14ac:dyDescent="0.25">
      <c r="A5" s="109"/>
      <c r="B5" s="270" t="s">
        <v>190</v>
      </c>
      <c r="C5" s="270"/>
      <c r="D5" s="79">
        <f>C9*((D7*(1+D7)^6)/((1+D7)^6-1))</f>
        <v>8926.2906167601195</v>
      </c>
      <c r="E5" s="45"/>
      <c r="F5" s="45"/>
      <c r="G5" s="45"/>
      <c r="H5" s="45"/>
      <c r="I5" s="45"/>
      <c r="J5" s="45"/>
    </row>
    <row r="6" spans="1:10" x14ac:dyDescent="0.25">
      <c r="A6" s="109"/>
    </row>
    <row r="7" spans="1:10" x14ac:dyDescent="0.25">
      <c r="B7" s="265" t="s">
        <v>0</v>
      </c>
      <c r="C7" s="266"/>
      <c r="D7" s="120">
        <v>0.02</v>
      </c>
      <c r="E7" s="119"/>
      <c r="F7" s="118"/>
      <c r="G7" s="118"/>
    </row>
    <row r="8" spans="1:10" ht="30" x14ac:dyDescent="0.25">
      <c r="B8" s="116" t="s">
        <v>1</v>
      </c>
      <c r="C8" s="116" t="s">
        <v>2</v>
      </c>
      <c r="D8" s="116" t="s">
        <v>3</v>
      </c>
      <c r="E8" s="117" t="s">
        <v>4</v>
      </c>
      <c r="F8" s="117" t="s">
        <v>5</v>
      </c>
      <c r="G8" s="117" t="s">
        <v>6</v>
      </c>
    </row>
    <row r="9" spans="1:10" x14ac:dyDescent="0.25">
      <c r="B9" s="4">
        <v>1</v>
      </c>
      <c r="C9" s="115">
        <v>50000</v>
      </c>
      <c r="D9" s="115">
        <f>$D$5</f>
        <v>8926.2906167601195</v>
      </c>
      <c r="E9" s="115">
        <f t="shared" ref="E9:E14" si="0">C9*$D$7</f>
        <v>1000</v>
      </c>
      <c r="F9" s="115">
        <f t="shared" ref="F9:F14" si="1">D9-E9</f>
        <v>7926.2906167601195</v>
      </c>
      <c r="G9" s="115">
        <f>F9</f>
        <v>7926.2906167601195</v>
      </c>
    </row>
    <row r="10" spans="1:10" x14ac:dyDescent="0.25">
      <c r="B10" s="4">
        <v>2</v>
      </c>
      <c r="C10" s="115">
        <f>$C$9-G9</f>
        <v>42073.709383239882</v>
      </c>
      <c r="D10" s="115">
        <f t="shared" ref="D10:D14" si="2">$D$5</f>
        <v>8926.2906167601195</v>
      </c>
      <c r="E10" s="115">
        <f t="shared" si="0"/>
        <v>841.47418766479768</v>
      </c>
      <c r="F10" s="115">
        <f t="shared" si="1"/>
        <v>8084.8164290953218</v>
      </c>
      <c r="G10" s="115">
        <f>G9+F10</f>
        <v>16011.107045855442</v>
      </c>
    </row>
    <row r="11" spans="1:10" x14ac:dyDescent="0.25">
      <c r="B11" s="4">
        <v>3</v>
      </c>
      <c r="C11" s="115">
        <f t="shared" ref="C11:C14" si="3">$C$9-G10</f>
        <v>33988.892954144554</v>
      </c>
      <c r="D11" s="115">
        <f t="shared" si="2"/>
        <v>8926.2906167601195</v>
      </c>
      <c r="E11" s="115">
        <f t="shared" si="0"/>
        <v>679.77785908289104</v>
      </c>
      <c r="F11" s="115">
        <f t="shared" si="1"/>
        <v>8246.5127576772284</v>
      </c>
      <c r="G11" s="115">
        <f>G10+F11</f>
        <v>24257.619803532671</v>
      </c>
    </row>
    <row r="12" spans="1:10" x14ac:dyDescent="0.25">
      <c r="B12" s="122">
        <v>4</v>
      </c>
      <c r="C12" s="123">
        <f t="shared" si="3"/>
        <v>25742.380196467329</v>
      </c>
      <c r="D12" s="123">
        <f t="shared" si="2"/>
        <v>8926.2906167601195</v>
      </c>
      <c r="E12" s="123">
        <f t="shared" si="0"/>
        <v>514.84760392934663</v>
      </c>
      <c r="F12" s="123">
        <f t="shared" si="1"/>
        <v>8411.4430128307722</v>
      </c>
      <c r="G12" s="123">
        <f>G11+F12</f>
        <v>32669.062816363443</v>
      </c>
    </row>
    <row r="13" spans="1:10" x14ac:dyDescent="0.25">
      <c r="B13" s="4">
        <v>5</v>
      </c>
      <c r="C13" s="115">
        <f t="shared" si="3"/>
        <v>17330.937183636557</v>
      </c>
      <c r="D13" s="115">
        <f t="shared" si="2"/>
        <v>8926.2906167601195</v>
      </c>
      <c r="E13" s="115">
        <f t="shared" si="0"/>
        <v>346.61874367273117</v>
      </c>
      <c r="F13" s="115">
        <f t="shared" si="1"/>
        <v>8579.671873087389</v>
      </c>
      <c r="G13" s="115">
        <f>G12+F13</f>
        <v>41248.73468945083</v>
      </c>
    </row>
    <row r="14" spans="1:10" x14ac:dyDescent="0.25">
      <c r="B14" s="2">
        <v>6</v>
      </c>
      <c r="C14" s="115">
        <f t="shared" si="3"/>
        <v>8751.26531054917</v>
      </c>
      <c r="D14" s="115">
        <f t="shared" si="2"/>
        <v>8926.2906167601195</v>
      </c>
      <c r="E14" s="115">
        <f t="shared" si="0"/>
        <v>175.02530621098342</v>
      </c>
      <c r="F14" s="115">
        <f t="shared" si="1"/>
        <v>8751.2653105491354</v>
      </c>
      <c r="G14" s="115">
        <f>G13+F14</f>
        <v>49999.999999999964</v>
      </c>
    </row>
    <row r="15" spans="1:10" x14ac:dyDescent="0.25">
      <c r="B15" s="7"/>
      <c r="C15" s="2"/>
      <c r="D15" s="2"/>
      <c r="E15" s="2"/>
      <c r="F15" s="2"/>
      <c r="G15" s="2"/>
    </row>
    <row r="16" spans="1:10" x14ac:dyDescent="0.25">
      <c r="B16" s="6" t="s">
        <v>8</v>
      </c>
      <c r="C16" s="2"/>
      <c r="D16" s="94">
        <f>SUM(D9:D14)</f>
        <v>53557.743700560713</v>
      </c>
      <c r="E16" s="94">
        <f t="shared" ref="E16:F16" si="4">SUM(E9:E14)</f>
        <v>3557.7437005607499</v>
      </c>
      <c r="F16" s="94">
        <f t="shared" si="4"/>
        <v>49999.999999999964</v>
      </c>
      <c r="G16" s="2"/>
    </row>
    <row r="17" spans="1:10" x14ac:dyDescent="0.25">
      <c r="B17" s="5"/>
      <c r="C17" s="5"/>
      <c r="D17" s="5"/>
      <c r="E17" s="5"/>
      <c r="F17" s="5"/>
      <c r="G17" s="5"/>
    </row>
    <row r="18" spans="1:10" x14ac:dyDescent="0.25">
      <c r="B18" s="121"/>
      <c r="C18" s="271" t="s">
        <v>9</v>
      </c>
      <c r="D18" s="272"/>
      <c r="E18" s="272"/>
      <c r="F18" s="272"/>
      <c r="G18" s="124">
        <f>C9-G12+D12</f>
        <v>26257.227800396679</v>
      </c>
    </row>
    <row r="22" spans="1:10" x14ac:dyDescent="0.25">
      <c r="A22" s="108" t="s">
        <v>10</v>
      </c>
    </row>
    <row r="23" spans="1:10" ht="15" customHeight="1" x14ac:dyDescent="0.25">
      <c r="A23" s="109"/>
      <c r="B23" s="269" t="s">
        <v>146</v>
      </c>
      <c r="C23" s="269"/>
      <c r="D23" s="269"/>
      <c r="E23" s="269"/>
      <c r="F23" s="269"/>
      <c r="G23" s="269"/>
      <c r="H23" s="269"/>
      <c r="I23" s="269"/>
      <c r="J23" s="269"/>
    </row>
    <row r="24" spans="1:10" x14ac:dyDescent="0.25">
      <c r="A24" s="109"/>
      <c r="B24" s="269"/>
      <c r="C24" s="269"/>
      <c r="D24" s="269"/>
      <c r="E24" s="269"/>
      <c r="F24" s="269"/>
      <c r="G24" s="269"/>
      <c r="H24" s="269"/>
      <c r="I24" s="269"/>
      <c r="J24" s="269"/>
    </row>
    <row r="25" spans="1:10" x14ac:dyDescent="0.25">
      <c r="A25" s="109"/>
      <c r="B25" s="269"/>
      <c r="C25" s="269"/>
      <c r="D25" s="269"/>
      <c r="E25" s="269"/>
      <c r="F25" s="269"/>
      <c r="G25" s="269"/>
      <c r="H25" s="269"/>
      <c r="I25" s="269"/>
      <c r="J25" s="269"/>
    </row>
    <row r="26" spans="1:10" x14ac:dyDescent="0.25">
      <c r="A26" s="109"/>
    </row>
    <row r="27" spans="1:10" x14ac:dyDescent="0.25">
      <c r="A27" s="109"/>
    </row>
    <row r="28" spans="1:10" x14ac:dyDescent="0.25">
      <c r="B28" s="265" t="s">
        <v>0</v>
      </c>
      <c r="C28" s="266"/>
      <c r="D28" s="120">
        <v>0.02</v>
      </c>
      <c r="E28" s="119"/>
      <c r="F28" s="118"/>
      <c r="G28" s="118"/>
    </row>
    <row r="29" spans="1:10" ht="30" x14ac:dyDescent="0.25">
      <c r="B29" s="116" t="s">
        <v>1</v>
      </c>
      <c r="C29" s="116" t="s">
        <v>2</v>
      </c>
      <c r="D29" s="116" t="s">
        <v>3</v>
      </c>
      <c r="E29" s="117" t="s">
        <v>4</v>
      </c>
      <c r="F29" s="117" t="s">
        <v>5</v>
      </c>
      <c r="G29" s="117" t="s">
        <v>6</v>
      </c>
    </row>
    <row r="30" spans="1:10" x14ac:dyDescent="0.25">
      <c r="B30" s="4">
        <v>1</v>
      </c>
      <c r="C30" s="115">
        <v>50000</v>
      </c>
      <c r="D30" s="115">
        <f>F30+E30</f>
        <v>9333.3333333333339</v>
      </c>
      <c r="E30" s="115">
        <f>C30*$D$28</f>
        <v>1000</v>
      </c>
      <c r="F30" s="115">
        <f>$C$30/6</f>
        <v>8333.3333333333339</v>
      </c>
      <c r="G30" s="115">
        <f>F30</f>
        <v>8333.3333333333339</v>
      </c>
    </row>
    <row r="31" spans="1:10" x14ac:dyDescent="0.25">
      <c r="B31" s="4">
        <v>2</v>
      </c>
      <c r="C31" s="115">
        <f>$C$30-G30</f>
        <v>41666.666666666664</v>
      </c>
      <c r="D31" s="115">
        <f t="shared" ref="D31:D35" si="5">F31+E31</f>
        <v>9166.6666666666679</v>
      </c>
      <c r="E31" s="115">
        <f t="shared" ref="E31:E35" si="6">C31*$D$28</f>
        <v>833.33333333333326</v>
      </c>
      <c r="F31" s="115">
        <f t="shared" ref="F31:F35" si="7">$C$30/6</f>
        <v>8333.3333333333339</v>
      </c>
      <c r="G31" s="115">
        <f>G30+F31</f>
        <v>16666.666666666668</v>
      </c>
    </row>
    <row r="32" spans="1:10" x14ac:dyDescent="0.25">
      <c r="B32" s="4">
        <v>3</v>
      </c>
      <c r="C32" s="115">
        <f t="shared" ref="C32:C35" si="8">$C$30-G31</f>
        <v>33333.333333333328</v>
      </c>
      <c r="D32" s="115">
        <f t="shared" si="5"/>
        <v>9000</v>
      </c>
      <c r="E32" s="115">
        <f t="shared" si="6"/>
        <v>666.66666666666663</v>
      </c>
      <c r="F32" s="115">
        <f t="shared" si="7"/>
        <v>8333.3333333333339</v>
      </c>
      <c r="G32" s="115">
        <f t="shared" ref="G32:G35" si="9">G31+F32</f>
        <v>25000</v>
      </c>
    </row>
    <row r="33" spans="1:10" x14ac:dyDescent="0.25">
      <c r="B33" s="122">
        <v>4</v>
      </c>
      <c r="C33" s="123">
        <f t="shared" si="8"/>
        <v>25000</v>
      </c>
      <c r="D33" s="123">
        <f t="shared" si="5"/>
        <v>8833.3333333333339</v>
      </c>
      <c r="E33" s="123">
        <f t="shared" si="6"/>
        <v>500</v>
      </c>
      <c r="F33" s="123">
        <f t="shared" si="7"/>
        <v>8333.3333333333339</v>
      </c>
      <c r="G33" s="123">
        <f t="shared" si="9"/>
        <v>33333.333333333336</v>
      </c>
    </row>
    <row r="34" spans="1:10" x14ac:dyDescent="0.25">
      <c r="B34" s="4">
        <v>5</v>
      </c>
      <c r="C34" s="115">
        <f>$C$30-G33</f>
        <v>16666.666666666664</v>
      </c>
      <c r="D34" s="115">
        <f t="shared" si="5"/>
        <v>8666.6666666666679</v>
      </c>
      <c r="E34" s="115">
        <f t="shared" si="6"/>
        <v>333.33333333333331</v>
      </c>
      <c r="F34" s="115">
        <f t="shared" si="7"/>
        <v>8333.3333333333339</v>
      </c>
      <c r="G34" s="115">
        <f t="shared" si="9"/>
        <v>41666.666666666672</v>
      </c>
    </row>
    <row r="35" spans="1:10" x14ac:dyDescent="0.25">
      <c r="B35" s="2">
        <v>6</v>
      </c>
      <c r="C35" s="115">
        <f t="shared" si="8"/>
        <v>8333.3333333333285</v>
      </c>
      <c r="D35" s="115">
        <f t="shared" si="5"/>
        <v>8500</v>
      </c>
      <c r="E35" s="115">
        <f t="shared" si="6"/>
        <v>166.66666666666657</v>
      </c>
      <c r="F35" s="115">
        <f t="shared" si="7"/>
        <v>8333.3333333333339</v>
      </c>
      <c r="G35" s="115">
        <f t="shared" si="9"/>
        <v>50000.000000000007</v>
      </c>
    </row>
    <row r="36" spans="1:10" x14ac:dyDescent="0.25">
      <c r="B36" s="7"/>
      <c r="C36" s="2"/>
      <c r="D36" s="2"/>
      <c r="E36" s="2"/>
      <c r="F36" s="2"/>
      <c r="G36" s="2"/>
    </row>
    <row r="37" spans="1:10" x14ac:dyDescent="0.25">
      <c r="B37" s="6" t="s">
        <v>8</v>
      </c>
      <c r="C37" s="2"/>
      <c r="D37" s="94">
        <f>SUM(D30:D35)</f>
        <v>53500</v>
      </c>
      <c r="E37" s="94">
        <f t="shared" ref="E37:F37" si="10">SUM(E30:E35)</f>
        <v>3500</v>
      </c>
      <c r="F37" s="94">
        <f t="shared" si="10"/>
        <v>50000.000000000007</v>
      </c>
      <c r="G37" s="2"/>
    </row>
    <row r="38" spans="1:10" x14ac:dyDescent="0.25">
      <c r="B38" s="5"/>
      <c r="C38" s="5"/>
      <c r="D38" s="5"/>
      <c r="E38" s="5"/>
      <c r="F38" s="5"/>
      <c r="G38" s="5"/>
      <c r="I38" s="241"/>
    </row>
    <row r="39" spans="1:10" x14ac:dyDescent="0.25">
      <c r="B39" s="121"/>
      <c r="C39" s="271" t="s">
        <v>9</v>
      </c>
      <c r="D39" s="272"/>
      <c r="E39" s="272"/>
      <c r="F39" s="272"/>
      <c r="G39" s="124">
        <f>C30-G33+D33</f>
        <v>25500</v>
      </c>
    </row>
    <row r="40" spans="1:10" ht="15.75" thickBot="1" x14ac:dyDescent="0.3"/>
    <row r="41" spans="1:10" ht="15.75" thickBot="1" x14ac:dyDescent="0.3">
      <c r="B41" s="273" t="s">
        <v>191</v>
      </c>
      <c r="C41" s="274"/>
      <c r="D41" s="274"/>
      <c r="E41" s="274"/>
      <c r="F41" s="274"/>
      <c r="G41" s="275"/>
    </row>
    <row r="43" spans="1:10" x14ac:dyDescent="0.25">
      <c r="A43" s="108" t="s">
        <v>11</v>
      </c>
    </row>
    <row r="44" spans="1:10" s="110" customFormat="1" ht="15" customHeight="1" x14ac:dyDescent="0.25">
      <c r="A44" s="109"/>
      <c r="B44" s="269" t="s">
        <v>147</v>
      </c>
      <c r="C44" s="269"/>
      <c r="D44" s="269"/>
      <c r="E44" s="269"/>
      <c r="F44" s="269"/>
      <c r="G44" s="269"/>
      <c r="H44" s="269"/>
      <c r="I44" s="269"/>
      <c r="J44" s="269"/>
    </row>
    <row r="45" spans="1:10" s="110" customFormat="1" x14ac:dyDescent="0.25">
      <c r="A45" s="109"/>
      <c r="B45" s="269"/>
      <c r="C45" s="269"/>
      <c r="D45" s="269"/>
      <c r="E45" s="269"/>
      <c r="F45" s="269"/>
      <c r="G45" s="269"/>
      <c r="H45" s="269"/>
      <c r="I45" s="269"/>
      <c r="J45" s="269"/>
    </row>
    <row r="46" spans="1:10" s="110" customFormat="1" x14ac:dyDescent="0.25">
      <c r="A46" s="109"/>
      <c r="B46" s="45"/>
      <c r="C46" s="45"/>
      <c r="D46" s="45"/>
      <c r="E46" s="45"/>
      <c r="F46" s="45"/>
      <c r="G46" s="45"/>
      <c r="H46" s="45"/>
      <c r="I46" s="45"/>
      <c r="J46" s="45"/>
    </row>
    <row r="47" spans="1:10" s="110" customFormat="1" x14ac:dyDescent="0.25">
      <c r="A47" s="109"/>
      <c r="B47" s="270" t="s">
        <v>190</v>
      </c>
      <c r="C47" s="270"/>
      <c r="D47" s="125">
        <f>C51*((D49*(1+D49)^8)/((1+D49)^8-1))</f>
        <v>17110.741517011014</v>
      </c>
      <c r="E47" s="45"/>
      <c r="F47" s="45"/>
      <c r="G47" s="45"/>
      <c r="H47" s="45"/>
      <c r="I47" s="45"/>
      <c r="J47" s="45"/>
    </row>
    <row r="48" spans="1:10" x14ac:dyDescent="0.25">
      <c r="A48" s="8"/>
    </row>
    <row r="49" spans="2:7" x14ac:dyDescent="0.25">
      <c r="B49" s="265" t="s">
        <v>0</v>
      </c>
      <c r="C49" s="266"/>
      <c r="D49" s="120">
        <v>0.12</v>
      </c>
      <c r="E49" s="119"/>
      <c r="F49" s="118"/>
      <c r="G49" s="118"/>
    </row>
    <row r="50" spans="2:7" ht="30" x14ac:dyDescent="0.25">
      <c r="B50" s="116" t="s">
        <v>1</v>
      </c>
      <c r="C50" s="116" t="s">
        <v>2</v>
      </c>
      <c r="D50" s="116" t="s">
        <v>3</v>
      </c>
      <c r="E50" s="117" t="s">
        <v>4</v>
      </c>
      <c r="F50" s="117" t="s">
        <v>5</v>
      </c>
      <c r="G50" s="117" t="s">
        <v>6</v>
      </c>
    </row>
    <row r="51" spans="2:7" x14ac:dyDescent="0.25">
      <c r="B51" s="4">
        <v>1</v>
      </c>
      <c r="C51" s="115">
        <v>85000</v>
      </c>
      <c r="D51" s="115">
        <f>$D$47</f>
        <v>17110.741517011014</v>
      </c>
      <c r="E51" s="115">
        <f>C51*$D$49</f>
        <v>10200</v>
      </c>
      <c r="F51" s="115">
        <f>D51-E51</f>
        <v>6910.7415170110144</v>
      </c>
      <c r="G51" s="115">
        <f>F51</f>
        <v>6910.7415170110144</v>
      </c>
    </row>
    <row r="52" spans="2:7" x14ac:dyDescent="0.25">
      <c r="B52" s="4">
        <v>2</v>
      </c>
      <c r="C52" s="115">
        <f>$C$51-G51</f>
        <v>78089.258482988982</v>
      </c>
      <c r="D52" s="115">
        <f t="shared" ref="D52:D58" si="11">$D$47</f>
        <v>17110.741517011014</v>
      </c>
      <c r="E52" s="115">
        <f t="shared" ref="E52:E58" si="12">C52*$D$49</f>
        <v>9370.711017958678</v>
      </c>
      <c r="F52" s="115">
        <f t="shared" ref="F52:F58" si="13">D52-E52</f>
        <v>7740.0304990523364</v>
      </c>
      <c r="G52" s="115">
        <f>G51+F52</f>
        <v>14650.772016063351</v>
      </c>
    </row>
    <row r="53" spans="2:7" x14ac:dyDescent="0.25">
      <c r="B53" s="4">
        <v>3</v>
      </c>
      <c r="C53" s="115">
        <f t="shared" ref="C53:C58" si="14">$C$51-G52</f>
        <v>70349.227983936653</v>
      </c>
      <c r="D53" s="115">
        <f t="shared" si="11"/>
        <v>17110.741517011014</v>
      </c>
      <c r="E53" s="115">
        <f t="shared" si="12"/>
        <v>8441.907358072398</v>
      </c>
      <c r="F53" s="115">
        <f t="shared" si="13"/>
        <v>8668.8341589386164</v>
      </c>
      <c r="G53" s="115">
        <f t="shared" ref="G53:G58" si="15">G52+F53</f>
        <v>23319.606175001965</v>
      </c>
    </row>
    <row r="54" spans="2:7" x14ac:dyDescent="0.25">
      <c r="B54" s="4">
        <v>4</v>
      </c>
      <c r="C54" s="115">
        <f t="shared" si="14"/>
        <v>61680.393824998035</v>
      </c>
      <c r="D54" s="115">
        <f t="shared" si="11"/>
        <v>17110.741517011014</v>
      </c>
      <c r="E54" s="115">
        <f t="shared" si="12"/>
        <v>7401.6472589997638</v>
      </c>
      <c r="F54" s="115">
        <f t="shared" si="13"/>
        <v>9709.0942580112496</v>
      </c>
      <c r="G54" s="115">
        <f t="shared" si="15"/>
        <v>33028.700433013219</v>
      </c>
    </row>
    <row r="55" spans="2:7" x14ac:dyDescent="0.25">
      <c r="B55" s="4">
        <v>5</v>
      </c>
      <c r="C55" s="115">
        <f t="shared" si="14"/>
        <v>51971.299566986781</v>
      </c>
      <c r="D55" s="115">
        <f t="shared" si="11"/>
        <v>17110.741517011014</v>
      </c>
      <c r="E55" s="115">
        <f t="shared" si="12"/>
        <v>6236.5559480384136</v>
      </c>
      <c r="F55" s="115">
        <f t="shared" si="13"/>
        <v>10874.1855689726</v>
      </c>
      <c r="G55" s="115">
        <f t="shared" si="15"/>
        <v>43902.886001985818</v>
      </c>
    </row>
    <row r="56" spans="2:7" x14ac:dyDescent="0.25">
      <c r="B56" s="4">
        <v>6</v>
      </c>
      <c r="C56" s="115">
        <f t="shared" si="14"/>
        <v>41097.113998014182</v>
      </c>
      <c r="D56" s="115">
        <f t="shared" si="11"/>
        <v>17110.741517011014</v>
      </c>
      <c r="E56" s="115">
        <f t="shared" si="12"/>
        <v>4931.6536797617018</v>
      </c>
      <c r="F56" s="115">
        <f t="shared" si="13"/>
        <v>12179.087837249313</v>
      </c>
      <c r="G56" s="115">
        <f t="shared" si="15"/>
        <v>56081.973839235128</v>
      </c>
    </row>
    <row r="57" spans="2:7" x14ac:dyDescent="0.25">
      <c r="B57" s="4">
        <v>7</v>
      </c>
      <c r="C57" s="115">
        <f t="shared" si="14"/>
        <v>28918.026160764872</v>
      </c>
      <c r="D57" s="115">
        <f t="shared" si="11"/>
        <v>17110.741517011014</v>
      </c>
      <c r="E57" s="115">
        <f t="shared" si="12"/>
        <v>3470.1631392917843</v>
      </c>
      <c r="F57" s="115">
        <f t="shared" si="13"/>
        <v>13640.57837771923</v>
      </c>
      <c r="G57" s="115">
        <f t="shared" si="15"/>
        <v>69722.552216954355</v>
      </c>
    </row>
    <row r="58" spans="2:7" x14ac:dyDescent="0.25">
      <c r="B58" s="2">
        <v>8</v>
      </c>
      <c r="C58" s="115">
        <f t="shared" si="14"/>
        <v>15277.447783045645</v>
      </c>
      <c r="D58" s="115">
        <f t="shared" si="11"/>
        <v>17110.741517011014</v>
      </c>
      <c r="E58" s="115">
        <f t="shared" si="12"/>
        <v>1833.2937339654775</v>
      </c>
      <c r="F58" s="115">
        <f t="shared" si="13"/>
        <v>15277.447783045536</v>
      </c>
      <c r="G58" s="115">
        <f t="shared" si="15"/>
        <v>84999.999999999884</v>
      </c>
    </row>
    <row r="59" spans="2:7" x14ac:dyDescent="0.25">
      <c r="B59" s="276"/>
      <c r="C59" s="277"/>
      <c r="D59" s="277"/>
      <c r="E59" s="277"/>
      <c r="F59" s="277"/>
      <c r="G59" s="278"/>
    </row>
    <row r="60" spans="2:7" x14ac:dyDescent="0.25">
      <c r="B60" s="6" t="s">
        <v>8</v>
      </c>
      <c r="C60" s="2"/>
      <c r="D60" s="94">
        <f>SUM(D51:D58)</f>
        <v>136885.93213608811</v>
      </c>
      <c r="E60" s="94">
        <f t="shared" ref="E60:F60" si="16">SUM(E51:E58)</f>
        <v>51885.93213608821</v>
      </c>
      <c r="F60" s="94">
        <f t="shared" si="16"/>
        <v>84999.999999999884</v>
      </c>
      <c r="G60" s="2"/>
    </row>
    <row r="61" spans="2:7" x14ac:dyDescent="0.25">
      <c r="B61" s="5"/>
      <c r="C61" s="5"/>
      <c r="D61" s="5"/>
      <c r="E61" s="5"/>
      <c r="F61" s="5"/>
      <c r="G61" s="5"/>
    </row>
    <row r="62" spans="2:7" x14ac:dyDescent="0.25">
      <c r="C62" s="60" t="s">
        <v>12</v>
      </c>
      <c r="D62" s="268" t="s">
        <v>192</v>
      </c>
      <c r="E62" s="268"/>
    </row>
    <row r="63" spans="2:7" x14ac:dyDescent="0.25">
      <c r="D63" s="268" t="s">
        <v>13</v>
      </c>
      <c r="E63" s="268"/>
    </row>
    <row r="64" spans="2:7" x14ac:dyDescent="0.25">
      <c r="D64" s="268" t="s">
        <v>193</v>
      </c>
      <c r="E64" s="268"/>
    </row>
    <row r="66" spans="1:10" x14ac:dyDescent="0.25">
      <c r="A66" s="108" t="s">
        <v>14</v>
      </c>
    </row>
    <row r="67" spans="1:10" x14ac:dyDescent="0.25">
      <c r="A67" s="109"/>
      <c r="B67" s="267" t="s">
        <v>148</v>
      </c>
      <c r="C67" s="267"/>
      <c r="D67" s="267"/>
      <c r="E67" s="267"/>
      <c r="F67" s="267"/>
      <c r="G67" s="267"/>
      <c r="H67" s="267"/>
      <c r="I67" s="267"/>
      <c r="J67" s="267"/>
    </row>
    <row r="68" spans="1:10" x14ac:dyDescent="0.25">
      <c r="A68" s="109"/>
    </row>
    <row r="69" spans="1:10" x14ac:dyDescent="0.25">
      <c r="A69" s="8"/>
    </row>
    <row r="70" spans="1:10" ht="15" customHeight="1" x14ac:dyDescent="0.25">
      <c r="B70" s="265" t="s">
        <v>0</v>
      </c>
      <c r="C70" s="266"/>
      <c r="D70" s="120">
        <v>0.12</v>
      </c>
      <c r="E70" s="119"/>
      <c r="F70" s="118"/>
      <c r="G70" s="118"/>
    </row>
    <row r="71" spans="1:10" ht="30" x14ac:dyDescent="0.25">
      <c r="B71" s="116" t="s">
        <v>1</v>
      </c>
      <c r="C71" s="116" t="s">
        <v>2</v>
      </c>
      <c r="D71" s="116" t="s">
        <v>3</v>
      </c>
      <c r="E71" s="117" t="s">
        <v>4</v>
      </c>
      <c r="F71" s="117" t="s">
        <v>5</v>
      </c>
      <c r="G71" s="117" t="s">
        <v>6</v>
      </c>
    </row>
    <row r="72" spans="1:10" x14ac:dyDescent="0.25">
      <c r="B72" s="4">
        <v>1</v>
      </c>
      <c r="C72" s="115">
        <v>85000</v>
      </c>
      <c r="D72" s="115">
        <f>E72+F72</f>
        <v>20825</v>
      </c>
      <c r="E72" s="115">
        <f>C72*$D$70</f>
        <v>10200</v>
      </c>
      <c r="F72" s="115">
        <f>$C$72/8</f>
        <v>10625</v>
      </c>
      <c r="G72" s="115">
        <f>F72</f>
        <v>10625</v>
      </c>
    </row>
    <row r="73" spans="1:10" x14ac:dyDescent="0.25">
      <c r="B73" s="4">
        <v>2</v>
      </c>
      <c r="C73" s="115">
        <f>$C$72-G72</f>
        <v>74375</v>
      </c>
      <c r="D73" s="115">
        <f t="shared" ref="D73:D79" si="17">E73+F73</f>
        <v>19550</v>
      </c>
      <c r="E73" s="115">
        <f t="shared" ref="E73:E79" si="18">C73*$D$70</f>
        <v>8925</v>
      </c>
      <c r="F73" s="115">
        <f t="shared" ref="F73:F79" si="19">$C$72/8</f>
        <v>10625</v>
      </c>
      <c r="G73" s="115">
        <f>G72+F73</f>
        <v>21250</v>
      </c>
    </row>
    <row r="74" spans="1:10" x14ac:dyDescent="0.25">
      <c r="B74" s="4">
        <v>3</v>
      </c>
      <c r="C74" s="115">
        <f t="shared" ref="C74:C79" si="20">$C$72-G73</f>
        <v>63750</v>
      </c>
      <c r="D74" s="115">
        <f t="shared" si="17"/>
        <v>18275</v>
      </c>
      <c r="E74" s="115">
        <f t="shared" si="18"/>
        <v>7650</v>
      </c>
      <c r="F74" s="115">
        <f t="shared" si="19"/>
        <v>10625</v>
      </c>
      <c r="G74" s="115">
        <f t="shared" ref="G74:G79" si="21">G73+F74</f>
        <v>31875</v>
      </c>
    </row>
    <row r="75" spans="1:10" x14ac:dyDescent="0.25">
      <c r="B75" s="4">
        <v>4</v>
      </c>
      <c r="C75" s="115">
        <f t="shared" si="20"/>
        <v>53125</v>
      </c>
      <c r="D75" s="115">
        <f t="shared" si="17"/>
        <v>17000</v>
      </c>
      <c r="E75" s="115">
        <f t="shared" si="18"/>
        <v>6375</v>
      </c>
      <c r="F75" s="115">
        <f t="shared" si="19"/>
        <v>10625</v>
      </c>
      <c r="G75" s="115">
        <f t="shared" si="21"/>
        <v>42500</v>
      </c>
    </row>
    <row r="76" spans="1:10" x14ac:dyDescent="0.25">
      <c r="B76" s="4">
        <v>5</v>
      </c>
      <c r="C76" s="115">
        <f t="shared" si="20"/>
        <v>42500</v>
      </c>
      <c r="D76" s="115">
        <f t="shared" si="17"/>
        <v>15725</v>
      </c>
      <c r="E76" s="115">
        <f t="shared" si="18"/>
        <v>5100</v>
      </c>
      <c r="F76" s="115">
        <f t="shared" si="19"/>
        <v>10625</v>
      </c>
      <c r="G76" s="115">
        <f t="shared" si="21"/>
        <v>53125</v>
      </c>
    </row>
    <row r="77" spans="1:10" x14ac:dyDescent="0.25">
      <c r="B77" s="2">
        <v>6</v>
      </c>
      <c r="C77" s="115">
        <f t="shared" si="20"/>
        <v>31875</v>
      </c>
      <c r="D77" s="115">
        <f t="shared" si="17"/>
        <v>14450</v>
      </c>
      <c r="E77" s="115">
        <f t="shared" si="18"/>
        <v>3825</v>
      </c>
      <c r="F77" s="115">
        <f t="shared" si="19"/>
        <v>10625</v>
      </c>
      <c r="G77" s="115">
        <f t="shared" si="21"/>
        <v>63750</v>
      </c>
    </row>
    <row r="78" spans="1:10" x14ac:dyDescent="0.25">
      <c r="B78" s="7">
        <v>7</v>
      </c>
      <c r="C78" s="115">
        <f t="shared" si="20"/>
        <v>21250</v>
      </c>
      <c r="D78" s="115">
        <f t="shared" si="17"/>
        <v>13175</v>
      </c>
      <c r="E78" s="115">
        <f t="shared" si="18"/>
        <v>2550</v>
      </c>
      <c r="F78" s="115">
        <f t="shared" si="19"/>
        <v>10625</v>
      </c>
      <c r="G78" s="115">
        <f t="shared" si="21"/>
        <v>74375</v>
      </c>
    </row>
    <row r="79" spans="1:10" x14ac:dyDescent="0.25">
      <c r="B79" s="7">
        <v>8</v>
      </c>
      <c r="C79" s="115">
        <f t="shared" si="20"/>
        <v>10625</v>
      </c>
      <c r="D79" s="115">
        <f t="shared" si="17"/>
        <v>11900</v>
      </c>
      <c r="E79" s="115">
        <f t="shared" si="18"/>
        <v>1275</v>
      </c>
      <c r="F79" s="115">
        <f t="shared" si="19"/>
        <v>10625</v>
      </c>
      <c r="G79" s="115">
        <f t="shared" si="21"/>
        <v>85000</v>
      </c>
    </row>
    <row r="80" spans="1:10" x14ac:dyDescent="0.25">
      <c r="B80" s="276"/>
      <c r="C80" s="277"/>
      <c r="D80" s="277"/>
      <c r="E80" s="277"/>
      <c r="F80" s="277"/>
      <c r="G80" s="278"/>
    </row>
    <row r="81" spans="2:7" x14ac:dyDescent="0.25">
      <c r="B81" s="6" t="s">
        <v>8</v>
      </c>
      <c r="C81" s="2"/>
      <c r="D81" s="94">
        <f>SUM(D72:D79)</f>
        <v>130900</v>
      </c>
      <c r="E81" s="94">
        <f t="shared" ref="E81:F81" si="22">SUM(E72:E79)</f>
        <v>45900</v>
      </c>
      <c r="F81" s="94">
        <f t="shared" si="22"/>
        <v>85000</v>
      </c>
      <c r="G81" s="2"/>
    </row>
    <row r="82" spans="2:7" x14ac:dyDescent="0.25">
      <c r="B82" s="5"/>
      <c r="C82" s="5"/>
      <c r="D82" s="5"/>
      <c r="E82" s="5"/>
      <c r="F82" s="5"/>
      <c r="G82" s="5"/>
    </row>
    <row r="83" spans="2:7" x14ac:dyDescent="0.25">
      <c r="C83" s="60" t="s">
        <v>194</v>
      </c>
      <c r="D83" s="268" t="s">
        <v>195</v>
      </c>
      <c r="E83" s="268"/>
    </row>
    <row r="84" spans="2:7" x14ac:dyDescent="0.25">
      <c r="C84" s="111"/>
      <c r="D84" s="268" t="s">
        <v>15</v>
      </c>
      <c r="E84" s="268"/>
    </row>
    <row r="85" spans="2:7" x14ac:dyDescent="0.25">
      <c r="C85" s="111"/>
      <c r="D85" s="268" t="s">
        <v>16</v>
      </c>
      <c r="E85" s="268"/>
    </row>
    <row r="86" spans="2:7" x14ac:dyDescent="0.25">
      <c r="C86" s="111"/>
      <c r="D86" s="111"/>
    </row>
  </sheetData>
  <mergeCells count="21">
    <mergeCell ref="D83:E83"/>
    <mergeCell ref="D84:E84"/>
    <mergeCell ref="D85:E85"/>
    <mergeCell ref="B2:J3"/>
    <mergeCell ref="B23:J25"/>
    <mergeCell ref="B5:C5"/>
    <mergeCell ref="B7:C7"/>
    <mergeCell ref="C18:F18"/>
    <mergeCell ref="B28:C28"/>
    <mergeCell ref="C39:F39"/>
    <mergeCell ref="B49:C49"/>
    <mergeCell ref="B44:J45"/>
    <mergeCell ref="B41:G41"/>
    <mergeCell ref="B47:C47"/>
    <mergeCell ref="B80:G80"/>
    <mergeCell ref="B59:G59"/>
    <mergeCell ref="B70:C70"/>
    <mergeCell ref="B67:J67"/>
    <mergeCell ref="D62:E62"/>
    <mergeCell ref="D63:E63"/>
    <mergeCell ref="D64:E6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E0E5D-C7CF-4B14-BD50-0353D6E6E691}">
  <sheetPr>
    <tabColor rgb="FF00B050"/>
  </sheetPr>
  <dimension ref="A1:N77"/>
  <sheetViews>
    <sheetView topLeftCell="A37" zoomScaleNormal="100" workbookViewId="0">
      <selection activeCell="D45" sqref="D45"/>
    </sheetView>
  </sheetViews>
  <sheetFormatPr baseColWidth="10" defaultRowHeight="15" x14ac:dyDescent="0.25"/>
  <cols>
    <col min="9" max="9" width="13.28515625" bestFit="1" customWidth="1"/>
  </cols>
  <sheetData>
    <row r="1" spans="1:10" x14ac:dyDescent="0.25">
      <c r="A1" s="112" t="s">
        <v>18</v>
      </c>
    </row>
    <row r="2" spans="1:10" x14ac:dyDescent="0.25">
      <c r="B2" s="282" t="s">
        <v>17</v>
      </c>
      <c r="C2" s="282"/>
      <c r="D2" s="282"/>
      <c r="E2" s="282"/>
      <c r="F2" s="282"/>
      <c r="G2" s="282"/>
      <c r="H2" s="282"/>
      <c r="I2" s="282"/>
      <c r="J2" s="282"/>
    </row>
    <row r="3" spans="1:10" x14ac:dyDescent="0.25">
      <c r="B3" s="282"/>
      <c r="C3" s="282"/>
      <c r="D3" s="282"/>
      <c r="E3" s="282"/>
      <c r="F3" s="282"/>
      <c r="G3" s="282"/>
      <c r="H3" s="282"/>
      <c r="I3" s="282"/>
      <c r="J3" s="282"/>
    </row>
    <row r="4" spans="1:10" x14ac:dyDescent="0.25">
      <c r="B4" s="282"/>
      <c r="C4" s="282"/>
      <c r="D4" s="282"/>
      <c r="E4" s="282"/>
      <c r="F4" s="282"/>
      <c r="G4" s="282"/>
      <c r="H4" s="282"/>
      <c r="I4" s="282"/>
      <c r="J4" s="282"/>
    </row>
    <row r="5" spans="1:10" x14ac:dyDescent="0.25">
      <c r="B5" s="9"/>
      <c r="C5" s="9"/>
      <c r="D5" s="9"/>
      <c r="E5" s="9"/>
      <c r="F5" s="9"/>
      <c r="G5" s="9"/>
      <c r="H5" s="9"/>
      <c r="I5" s="9"/>
      <c r="J5" s="9"/>
    </row>
    <row r="6" spans="1:10" x14ac:dyDescent="0.25">
      <c r="B6" s="35" t="s">
        <v>54</v>
      </c>
      <c r="C6" s="37">
        <v>0.2</v>
      </c>
      <c r="D6" s="9"/>
      <c r="E6" s="9"/>
      <c r="F6" s="9"/>
      <c r="G6" s="9"/>
      <c r="H6" s="9"/>
      <c r="I6" s="9"/>
      <c r="J6" s="9"/>
    </row>
    <row r="7" spans="1:10" x14ac:dyDescent="0.25">
      <c r="B7" s="9"/>
      <c r="C7" s="26"/>
      <c r="D7" s="9"/>
      <c r="E7" s="9"/>
      <c r="F7" s="9"/>
      <c r="G7" s="9"/>
      <c r="H7" s="9"/>
      <c r="I7" s="9"/>
      <c r="J7" s="9"/>
    </row>
    <row r="8" spans="1:10" x14ac:dyDescent="0.25">
      <c r="B8" s="1"/>
      <c r="C8" s="11" t="s">
        <v>21</v>
      </c>
      <c r="D8" s="11" t="s">
        <v>22</v>
      </c>
      <c r="E8" s="11" t="s">
        <v>23</v>
      </c>
      <c r="F8" s="11" t="s">
        <v>24</v>
      </c>
      <c r="G8" s="11" t="s">
        <v>25</v>
      </c>
    </row>
    <row r="9" spans="1:10" x14ac:dyDescent="0.25">
      <c r="B9" s="10" t="s">
        <v>19</v>
      </c>
      <c r="C9" s="1">
        <v>-18000</v>
      </c>
      <c r="D9" s="1">
        <v>-6000</v>
      </c>
      <c r="E9" s="1">
        <v>-4500</v>
      </c>
      <c r="F9" s="1">
        <v>-4500</v>
      </c>
      <c r="G9" s="1">
        <v>-4500</v>
      </c>
    </row>
    <row r="10" spans="1:10" x14ac:dyDescent="0.25">
      <c r="B10" s="10" t="s">
        <v>20</v>
      </c>
      <c r="C10" s="1"/>
      <c r="D10" s="1">
        <v>16500</v>
      </c>
      <c r="E10" s="1">
        <v>7500</v>
      </c>
      <c r="F10" s="1">
        <v>7700</v>
      </c>
      <c r="G10" s="1">
        <v>8600</v>
      </c>
    </row>
    <row r="11" spans="1:10" x14ac:dyDescent="0.25">
      <c r="B11" s="10" t="s">
        <v>50</v>
      </c>
      <c r="C11" s="1">
        <f>SUM(C9:C10)</f>
        <v>-18000</v>
      </c>
      <c r="D11" s="1">
        <f t="shared" ref="D11:F11" si="0">SUM(D9:D10)</f>
        <v>10500</v>
      </c>
      <c r="E11" s="1">
        <f t="shared" si="0"/>
        <v>3000</v>
      </c>
      <c r="F11" s="1">
        <f t="shared" si="0"/>
        <v>3200</v>
      </c>
      <c r="G11" s="1">
        <f>SUM(G9:G10)</f>
        <v>4100</v>
      </c>
    </row>
    <row r="12" spans="1:10" x14ac:dyDescent="0.25">
      <c r="B12" s="12"/>
      <c r="C12" s="13"/>
      <c r="D12" s="13"/>
      <c r="E12" s="13"/>
      <c r="F12" s="13"/>
      <c r="G12" s="13"/>
    </row>
    <row r="13" spans="1:10" x14ac:dyDescent="0.25">
      <c r="B13" s="12"/>
      <c r="C13" s="11">
        <v>0</v>
      </c>
      <c r="D13" s="11">
        <v>1</v>
      </c>
      <c r="E13" s="11">
        <v>2</v>
      </c>
      <c r="F13" s="11">
        <v>3</v>
      </c>
      <c r="G13" s="27">
        <v>4</v>
      </c>
      <c r="H13" s="30"/>
      <c r="I13" s="29"/>
    </row>
    <row r="14" spans="1:10" x14ac:dyDescent="0.25">
      <c r="A14" s="280" t="s">
        <v>59</v>
      </c>
      <c r="B14" s="280"/>
      <c r="C14" s="20">
        <f>C9/(1+$C$6)^C13</f>
        <v>-18000</v>
      </c>
      <c r="D14" s="20">
        <f>D9/(1+$C$6)^D13</f>
        <v>-5000</v>
      </c>
      <c r="E14" s="20">
        <f>E9/(1+$C$6)^E13</f>
        <v>-3125</v>
      </c>
      <c r="F14" s="20">
        <f>F9/(1+$C$6)^F13</f>
        <v>-2604.1666666666665</v>
      </c>
      <c r="G14" s="28">
        <f>G9/(1+$C$6)^G13</f>
        <v>-2170.1388888888891</v>
      </c>
      <c r="H14" s="31"/>
      <c r="I14" s="21"/>
    </row>
    <row r="15" spans="1:10" x14ac:dyDescent="0.25">
      <c r="A15" s="280" t="s">
        <v>60</v>
      </c>
      <c r="B15" s="280"/>
      <c r="C15" s="20">
        <f>C10/(1+$C$6)^C13</f>
        <v>0</v>
      </c>
      <c r="D15" s="20">
        <f t="shared" ref="D15:G15" si="1">D10/(1+$C$6)^D13</f>
        <v>13750</v>
      </c>
      <c r="E15" s="20">
        <f t="shared" si="1"/>
        <v>5208.3333333333339</v>
      </c>
      <c r="F15" s="20">
        <f t="shared" si="1"/>
        <v>4456.0185185185182</v>
      </c>
      <c r="G15" s="20">
        <f t="shared" si="1"/>
        <v>4147.3765432098771</v>
      </c>
      <c r="H15" s="31"/>
      <c r="I15" s="21"/>
    </row>
    <row r="16" spans="1:10" x14ac:dyDescent="0.25">
      <c r="A16" s="286" t="s">
        <v>56</v>
      </c>
      <c r="B16" s="278"/>
      <c r="C16" s="20">
        <f>SUM(C14:C15)</f>
        <v>-18000</v>
      </c>
      <c r="D16" s="20">
        <f t="shared" ref="D16:G16" si="2">SUM(D14:D15)</f>
        <v>8750</v>
      </c>
      <c r="E16" s="20">
        <f t="shared" si="2"/>
        <v>2083.3333333333339</v>
      </c>
      <c r="F16" s="20">
        <f t="shared" si="2"/>
        <v>1851.8518518518517</v>
      </c>
      <c r="G16" s="20">
        <f t="shared" si="2"/>
        <v>1977.237654320988</v>
      </c>
      <c r="H16" s="31"/>
      <c r="I16" s="21"/>
    </row>
    <row r="17" spans="1:13" x14ac:dyDescent="0.25">
      <c r="B17" s="12"/>
      <c r="C17" s="13"/>
      <c r="D17" s="13"/>
      <c r="E17" s="13"/>
      <c r="F17" s="13"/>
      <c r="G17" s="13"/>
    </row>
    <row r="18" spans="1:13" ht="15" customHeight="1" x14ac:dyDescent="0.25">
      <c r="B18" s="22" t="s">
        <v>57</v>
      </c>
      <c r="C18" s="32">
        <f>SUM(C16:G16)</f>
        <v>-3337.5771604938259</v>
      </c>
      <c r="D18" s="13"/>
      <c r="E18" s="35" t="s">
        <v>61</v>
      </c>
      <c r="F18" s="35" t="s">
        <v>62</v>
      </c>
      <c r="G18" s="33"/>
      <c r="H18" s="33"/>
      <c r="I18" s="33"/>
      <c r="J18" s="33"/>
      <c r="K18" s="33"/>
      <c r="L18" s="33"/>
      <c r="M18" s="33"/>
    </row>
    <row r="19" spans="1:13" x14ac:dyDescent="0.25">
      <c r="B19" s="12"/>
      <c r="C19" s="13"/>
      <c r="D19" s="13"/>
      <c r="G19" s="33"/>
      <c r="H19" s="33"/>
      <c r="I19" s="33"/>
      <c r="J19" s="33"/>
      <c r="K19" s="33"/>
      <c r="L19" s="33"/>
      <c r="M19" s="33"/>
    </row>
    <row r="20" spans="1:13" ht="15" customHeight="1" x14ac:dyDescent="0.25">
      <c r="B20" s="22" t="s">
        <v>58</v>
      </c>
      <c r="C20" s="34">
        <f>IRR(C11:G11)</f>
        <v>7.5288992592589699E-2</v>
      </c>
      <c r="D20" s="13"/>
      <c r="E20" s="35" t="s">
        <v>63</v>
      </c>
      <c r="F20" s="35" t="s">
        <v>62</v>
      </c>
      <c r="G20" s="33"/>
      <c r="H20" s="33"/>
      <c r="I20" s="33"/>
      <c r="J20" s="33"/>
      <c r="K20" s="33"/>
      <c r="L20" s="33"/>
      <c r="M20" s="33"/>
    </row>
    <row r="21" spans="1:13" x14ac:dyDescent="0.25">
      <c r="B21" s="12"/>
      <c r="C21" s="13"/>
      <c r="D21" s="13"/>
      <c r="E21" s="33"/>
      <c r="F21" s="33"/>
      <c r="G21" s="33"/>
      <c r="H21" s="33"/>
      <c r="I21" s="33"/>
      <c r="J21" s="33"/>
      <c r="K21" s="33"/>
      <c r="L21" s="33"/>
      <c r="M21" s="33"/>
    </row>
    <row r="24" spans="1:13" x14ac:dyDescent="0.25">
      <c r="A24" s="112" t="s">
        <v>27</v>
      </c>
    </row>
    <row r="25" spans="1:13" ht="15" customHeight="1" x14ac:dyDescent="0.25">
      <c r="B25" s="282" t="s">
        <v>26</v>
      </c>
      <c r="C25" s="282"/>
      <c r="D25" s="282"/>
      <c r="E25" s="282"/>
      <c r="F25" s="282"/>
      <c r="G25" s="282"/>
      <c r="H25" s="282"/>
      <c r="I25" s="282"/>
      <c r="J25" s="282"/>
      <c r="K25" s="282"/>
      <c r="L25" s="282"/>
    </row>
    <row r="26" spans="1:13" x14ac:dyDescent="0.25">
      <c r="B26" s="282"/>
      <c r="C26" s="282"/>
      <c r="D26" s="282"/>
      <c r="E26" s="282"/>
      <c r="F26" s="282"/>
      <c r="G26" s="282"/>
      <c r="H26" s="282"/>
      <c r="I26" s="282"/>
      <c r="J26" s="282"/>
      <c r="K26" s="282"/>
      <c r="L26" s="282"/>
    </row>
    <row r="27" spans="1:13" x14ac:dyDescent="0.25">
      <c r="B27" s="282"/>
      <c r="C27" s="282"/>
      <c r="D27" s="282"/>
      <c r="E27" s="282"/>
      <c r="F27" s="282"/>
      <c r="G27" s="282"/>
      <c r="H27" s="282"/>
      <c r="I27" s="282"/>
      <c r="J27" s="282"/>
      <c r="K27" s="282"/>
      <c r="L27" s="282"/>
    </row>
    <row r="28" spans="1:13" x14ac:dyDescent="0.25">
      <c r="B28" s="282"/>
      <c r="C28" s="282"/>
      <c r="D28" s="282"/>
      <c r="E28" s="282"/>
      <c r="F28" s="282"/>
      <c r="G28" s="282"/>
      <c r="H28" s="282"/>
      <c r="I28" s="282"/>
      <c r="J28" s="282"/>
      <c r="K28" s="282"/>
      <c r="L28" s="282"/>
    </row>
    <row r="30" spans="1:13" x14ac:dyDescent="0.25">
      <c r="B30" s="1"/>
      <c r="C30" s="11" t="s">
        <v>48</v>
      </c>
      <c r="D30" s="11" t="s">
        <v>28</v>
      </c>
      <c r="E30" s="11" t="s">
        <v>29</v>
      </c>
      <c r="F30" s="11" t="s">
        <v>30</v>
      </c>
      <c r="G30" s="11" t="s">
        <v>31</v>
      </c>
      <c r="H30" s="11" t="s">
        <v>32</v>
      </c>
      <c r="I30" s="11" t="s">
        <v>33</v>
      </c>
    </row>
    <row r="31" spans="1:13" x14ac:dyDescent="0.25">
      <c r="B31" s="10" t="s">
        <v>19</v>
      </c>
      <c r="C31" s="3">
        <v>-120000</v>
      </c>
      <c r="D31" s="1">
        <v>-15000</v>
      </c>
      <c r="E31" s="1">
        <v>-15000</v>
      </c>
      <c r="F31" s="1">
        <v>-20000</v>
      </c>
      <c r="G31" s="1">
        <v>-25000</v>
      </c>
      <c r="H31" s="1">
        <v>-30000</v>
      </c>
      <c r="I31" s="1">
        <v>-30000</v>
      </c>
      <c r="L31">
        <f>SUM(C31:I31)</f>
        <v>-255000</v>
      </c>
    </row>
    <row r="32" spans="1:13" x14ac:dyDescent="0.25">
      <c r="B32" s="10" t="s">
        <v>20</v>
      </c>
      <c r="C32" s="3"/>
      <c r="D32" s="1">
        <v>45000</v>
      </c>
      <c r="E32" s="1">
        <v>58000</v>
      </c>
      <c r="F32" s="1">
        <v>48000</v>
      </c>
      <c r="G32" s="1">
        <v>63000</v>
      </c>
      <c r="H32" s="1">
        <v>68000</v>
      </c>
      <c r="I32" s="1">
        <v>75000</v>
      </c>
      <c r="L32">
        <f t="shared" ref="L32" si="3">SUM(C32:I32)</f>
        <v>357000</v>
      </c>
    </row>
    <row r="33" spans="1:14" x14ac:dyDescent="0.25">
      <c r="B33" s="12"/>
      <c r="C33" s="13"/>
      <c r="D33" s="13"/>
      <c r="E33" s="13"/>
      <c r="F33" s="13"/>
      <c r="G33" s="13"/>
      <c r="H33" s="13"/>
    </row>
    <row r="34" spans="1:14" x14ac:dyDescent="0.25">
      <c r="A34" s="287" t="s">
        <v>78</v>
      </c>
      <c r="B34" s="288"/>
      <c r="C34" s="1"/>
      <c r="D34" s="11" t="s">
        <v>21</v>
      </c>
      <c r="E34" s="11" t="s">
        <v>22</v>
      </c>
      <c r="F34" s="11" t="s">
        <v>23</v>
      </c>
      <c r="G34" s="11" t="s">
        <v>24</v>
      </c>
      <c r="H34" s="11" t="s">
        <v>25</v>
      </c>
      <c r="I34" s="11" t="s">
        <v>46</v>
      </c>
      <c r="J34" s="11" t="s">
        <v>47</v>
      </c>
    </row>
    <row r="35" spans="1:14" x14ac:dyDescent="0.25">
      <c r="A35" s="287"/>
      <c r="B35" s="288"/>
      <c r="C35" s="1" t="s">
        <v>49</v>
      </c>
      <c r="D35" s="14">
        <v>-120000</v>
      </c>
      <c r="E35" s="11"/>
      <c r="F35" s="11"/>
      <c r="G35" s="11"/>
      <c r="H35" s="11"/>
      <c r="I35" s="11"/>
      <c r="J35" s="11"/>
    </row>
    <row r="36" spans="1:14" x14ac:dyDescent="0.25">
      <c r="C36" s="10" t="s">
        <v>19</v>
      </c>
      <c r="D36" s="1">
        <f>D35+(D31/2)</f>
        <v>-127500</v>
      </c>
      <c r="E36" s="1">
        <f t="shared" ref="E36:J37" si="4">(D31/2)+(E31/2)</f>
        <v>-15000</v>
      </c>
      <c r="F36" s="1">
        <f t="shared" si="4"/>
        <v>-17500</v>
      </c>
      <c r="G36" s="1">
        <f t="shared" si="4"/>
        <v>-22500</v>
      </c>
      <c r="H36" s="1">
        <f t="shared" si="4"/>
        <v>-27500</v>
      </c>
      <c r="I36" s="1">
        <f t="shared" si="4"/>
        <v>-30000</v>
      </c>
      <c r="J36" s="1">
        <f t="shared" si="4"/>
        <v>-15000</v>
      </c>
      <c r="L36">
        <f>SUM(D36:J36)</f>
        <v>-255000</v>
      </c>
    </row>
    <row r="37" spans="1:14" x14ac:dyDescent="0.25">
      <c r="C37" s="10" t="s">
        <v>20</v>
      </c>
      <c r="D37" s="1">
        <f>D32/2</f>
        <v>22500</v>
      </c>
      <c r="E37" s="1">
        <f t="shared" si="4"/>
        <v>51500</v>
      </c>
      <c r="F37" s="1">
        <f t="shared" si="4"/>
        <v>53000</v>
      </c>
      <c r="G37" s="1">
        <f t="shared" si="4"/>
        <v>55500</v>
      </c>
      <c r="H37" s="1">
        <f t="shared" si="4"/>
        <v>65500</v>
      </c>
      <c r="I37" s="1">
        <f t="shared" si="4"/>
        <v>71500</v>
      </c>
      <c r="J37" s="1">
        <f t="shared" si="4"/>
        <v>37500</v>
      </c>
      <c r="L37">
        <f>SUM(D37:J37)</f>
        <v>357000</v>
      </c>
    </row>
    <row r="38" spans="1:14" x14ac:dyDescent="0.25">
      <c r="C38" s="291" t="s">
        <v>51</v>
      </c>
      <c r="D38" s="15">
        <f>SUM(D36:D37)</f>
        <v>-105000</v>
      </c>
      <c r="E38" s="15">
        <f t="shared" ref="E38:J38" si="5">SUM(E36:E37)</f>
        <v>36500</v>
      </c>
      <c r="F38" s="15">
        <f t="shared" si="5"/>
        <v>35500</v>
      </c>
      <c r="G38" s="15">
        <f t="shared" si="5"/>
        <v>33000</v>
      </c>
      <c r="H38" s="15">
        <f t="shared" si="5"/>
        <v>38000</v>
      </c>
      <c r="I38" s="15">
        <f t="shared" si="5"/>
        <v>41500</v>
      </c>
      <c r="J38" s="15">
        <f t="shared" si="5"/>
        <v>22500</v>
      </c>
    </row>
    <row r="39" spans="1:14" x14ac:dyDescent="0.25">
      <c r="B39" s="12"/>
      <c r="C39" s="291"/>
      <c r="D39" s="13"/>
      <c r="E39" s="13"/>
      <c r="F39" s="13"/>
      <c r="G39" s="13"/>
      <c r="H39" s="13"/>
    </row>
    <row r="40" spans="1:14" x14ac:dyDescent="0.25">
      <c r="B40" s="12"/>
      <c r="C40" s="16"/>
      <c r="D40" s="13"/>
      <c r="E40" s="13"/>
      <c r="F40" s="13"/>
      <c r="G40" s="13"/>
      <c r="H40" s="13"/>
    </row>
    <row r="41" spans="1:14" x14ac:dyDescent="0.25">
      <c r="C41" s="22" t="s">
        <v>54</v>
      </c>
      <c r="D41" s="36">
        <v>0.18</v>
      </c>
      <c r="E41" s="13"/>
      <c r="F41" s="13"/>
      <c r="G41" s="13"/>
      <c r="H41" s="13"/>
      <c r="I41" s="13"/>
    </row>
    <row r="42" spans="1:14" x14ac:dyDescent="0.25">
      <c r="A42" s="17"/>
      <c r="C42" s="18"/>
      <c r="D42" s="19"/>
      <c r="E42" s="18"/>
      <c r="F42" s="18"/>
      <c r="G42" s="18"/>
      <c r="H42" s="18"/>
      <c r="I42" s="18"/>
      <c r="J42" s="17"/>
      <c r="K42" s="17"/>
    </row>
    <row r="43" spans="1:14" x14ac:dyDescent="0.25">
      <c r="A43" s="17"/>
      <c r="B43" s="293" t="s">
        <v>55</v>
      </c>
      <c r="C43" s="293"/>
      <c r="D43" s="11">
        <v>0</v>
      </c>
      <c r="E43" s="11">
        <v>1</v>
      </c>
      <c r="F43" s="11">
        <v>2</v>
      </c>
      <c r="G43" s="11">
        <v>3</v>
      </c>
      <c r="H43" s="11">
        <v>4</v>
      </c>
      <c r="I43" s="11">
        <v>5</v>
      </c>
      <c r="J43" s="11">
        <v>6</v>
      </c>
      <c r="K43" s="17"/>
    </row>
    <row r="44" spans="1:14" x14ac:dyDescent="0.25">
      <c r="A44" s="17"/>
      <c r="B44" s="280" t="s">
        <v>52</v>
      </c>
      <c r="C44" s="280"/>
      <c r="D44" s="20">
        <f>D36/(1+$D$41)^D43</f>
        <v>-127500</v>
      </c>
      <c r="E44" s="20">
        <f t="shared" ref="E44:J44" si="6">E36/(1+$D$41)^E43</f>
        <v>-12711.864406779661</v>
      </c>
      <c r="F44" s="20">
        <f t="shared" si="6"/>
        <v>-12568.22752082735</v>
      </c>
      <c r="G44" s="20">
        <f t="shared" si="6"/>
        <v>-13694.194635284037</v>
      </c>
      <c r="H44" s="20">
        <f t="shared" si="6"/>
        <v>-14184.194066678383</v>
      </c>
      <c r="I44" s="20">
        <f t="shared" si="6"/>
        <v>-13113.276486913761</v>
      </c>
      <c r="J44" s="20">
        <f t="shared" si="6"/>
        <v>-5556.4730876753219</v>
      </c>
    </row>
    <row r="45" spans="1:14" x14ac:dyDescent="0.25">
      <c r="A45" s="17"/>
      <c r="B45" s="280" t="s">
        <v>53</v>
      </c>
      <c r="C45" s="280"/>
      <c r="D45" s="20">
        <f>D37/(1+$D$41)^D43</f>
        <v>22500</v>
      </c>
      <c r="E45" s="20">
        <f t="shared" ref="E45:J45" si="7">E37/(1+$D$41)^E43</f>
        <v>43644.067796610172</v>
      </c>
      <c r="F45" s="20">
        <f t="shared" si="7"/>
        <v>38063.774777362829</v>
      </c>
      <c r="G45" s="20">
        <f t="shared" si="7"/>
        <v>33779.013433700624</v>
      </c>
      <c r="H45" s="20">
        <f t="shared" si="7"/>
        <v>33784.171322452152</v>
      </c>
      <c r="I45" s="20">
        <f t="shared" si="7"/>
        <v>31253.308960477796</v>
      </c>
      <c r="J45" s="20">
        <f t="shared" si="7"/>
        <v>13891.182719188306</v>
      </c>
    </row>
    <row r="46" spans="1:14" x14ac:dyDescent="0.25">
      <c r="A46" s="17"/>
      <c r="B46" s="292" t="s">
        <v>56</v>
      </c>
      <c r="C46" s="292"/>
      <c r="D46" s="44">
        <f>SUM(D44:D45)</f>
        <v>-105000</v>
      </c>
      <c r="E46" s="44">
        <f t="shared" ref="E46:J46" si="8">SUM(E44:E45)</f>
        <v>30932.203389830509</v>
      </c>
      <c r="F46" s="44">
        <f t="shared" si="8"/>
        <v>25495.547256535479</v>
      </c>
      <c r="G46" s="44">
        <f t="shared" si="8"/>
        <v>20084.818798416585</v>
      </c>
      <c r="H46" s="44">
        <f t="shared" si="8"/>
        <v>19599.977255773767</v>
      </c>
      <c r="I46" s="44">
        <f t="shared" si="8"/>
        <v>18140.032473564035</v>
      </c>
      <c r="J46" s="44">
        <f t="shared" si="8"/>
        <v>8334.7096315129838</v>
      </c>
      <c r="K46" s="17"/>
    </row>
    <row r="47" spans="1:14" ht="15" customHeight="1" x14ac:dyDescent="0.25">
      <c r="A47" s="289" t="s">
        <v>82</v>
      </c>
      <c r="B47" s="289"/>
      <c r="C47" s="289"/>
      <c r="D47" s="62">
        <f>D46</f>
        <v>-105000</v>
      </c>
      <c r="E47" s="62">
        <f>D47+E46</f>
        <v>-74067.796610169491</v>
      </c>
      <c r="F47" s="62">
        <f t="shared" ref="F47:I47" si="9">E47+F46</f>
        <v>-48572.249353634012</v>
      </c>
      <c r="G47" s="62">
        <f t="shared" si="9"/>
        <v>-28487.430555217426</v>
      </c>
      <c r="H47" s="62">
        <f t="shared" si="9"/>
        <v>-8887.4532994436595</v>
      </c>
      <c r="I47" s="62">
        <f t="shared" si="9"/>
        <v>9252.5791741203757</v>
      </c>
      <c r="J47" s="62">
        <f>I47+J46</f>
        <v>17587.288805633361</v>
      </c>
      <c r="K47" s="290" t="s">
        <v>83</v>
      </c>
      <c r="L47" s="290"/>
      <c r="M47" s="290"/>
      <c r="N47" s="290"/>
    </row>
    <row r="48" spans="1:14" x14ac:dyDescent="0.25">
      <c r="A48" s="17"/>
      <c r="B48" s="12"/>
      <c r="C48" s="13"/>
      <c r="D48" s="13"/>
      <c r="E48" s="13"/>
      <c r="F48" s="13"/>
      <c r="G48" s="13"/>
      <c r="H48" s="13"/>
      <c r="I48" s="13"/>
      <c r="J48" s="17"/>
      <c r="K48" s="17"/>
    </row>
    <row r="49" spans="1:13" ht="15" customHeight="1" x14ac:dyDescent="0.25">
      <c r="A49" s="17"/>
      <c r="B49" s="22" t="s">
        <v>57</v>
      </c>
      <c r="C49" s="23">
        <f>SUM(D46:J46)</f>
        <v>17587.288805633361</v>
      </c>
      <c r="E49" s="35" t="s">
        <v>64</v>
      </c>
      <c r="F49" s="35" t="s">
        <v>65</v>
      </c>
      <c r="G49" s="33"/>
      <c r="H49" s="35" t="s">
        <v>79</v>
      </c>
      <c r="I49" s="41">
        <f>ABS(L50)/ABS(L49)</f>
        <v>1.0882328046941465</v>
      </c>
      <c r="J49" s="33"/>
      <c r="K49" s="43" t="s">
        <v>80</v>
      </c>
      <c r="L49" s="42">
        <f>SUM(D44:J44)</f>
        <v>-199328.23020415852</v>
      </c>
      <c r="M49" s="33"/>
    </row>
    <row r="50" spans="1:13" x14ac:dyDescent="0.25">
      <c r="A50" s="17"/>
      <c r="B50" s="13"/>
      <c r="C50" s="23">
        <f>NPV(D41,E38:J38)+D38</f>
        <v>17587.288805633347</v>
      </c>
      <c r="G50" s="33"/>
      <c r="H50" s="33"/>
      <c r="I50" s="33"/>
      <c r="J50" s="33"/>
      <c r="K50" s="43" t="s">
        <v>81</v>
      </c>
      <c r="L50" s="42">
        <f>SUM(D45:J45)</f>
        <v>216915.5190097919</v>
      </c>
      <c r="M50" s="33"/>
    </row>
    <row r="51" spans="1:13" x14ac:dyDescent="0.25">
      <c r="A51" s="17"/>
      <c r="B51" s="22" t="s">
        <v>58</v>
      </c>
      <c r="C51" s="38">
        <f>IRR(D38:J38)</f>
        <v>0.24522204903916189</v>
      </c>
      <c r="E51" s="35" t="s">
        <v>66</v>
      </c>
      <c r="F51" s="35" t="s">
        <v>65</v>
      </c>
      <c r="G51" s="33"/>
      <c r="H51" s="33"/>
      <c r="I51" s="33"/>
      <c r="J51" s="33"/>
      <c r="K51" s="33"/>
      <c r="L51" s="24"/>
      <c r="M51" s="24"/>
    </row>
    <row r="52" spans="1:13" x14ac:dyDescent="0.25">
      <c r="A52" s="17"/>
      <c r="B52" s="12"/>
      <c r="C52" s="25"/>
      <c r="D52" s="13"/>
      <c r="E52" s="13"/>
      <c r="F52" s="24"/>
      <c r="G52" s="24"/>
      <c r="H52" s="24"/>
      <c r="I52" s="24"/>
      <c r="J52" s="24"/>
      <c r="K52" s="24"/>
      <c r="L52" s="24"/>
      <c r="M52" s="24"/>
    </row>
    <row r="53" spans="1:13" ht="15" customHeight="1" x14ac:dyDescent="0.25">
      <c r="B53" s="12"/>
      <c r="C53" s="16"/>
      <c r="D53" s="13"/>
      <c r="E53" s="13"/>
      <c r="F53" s="13"/>
      <c r="G53" s="13"/>
      <c r="H53" s="13"/>
    </row>
    <row r="54" spans="1:13" x14ac:dyDescent="0.25">
      <c r="A54" s="112" t="s">
        <v>35</v>
      </c>
    </row>
    <row r="55" spans="1:13" x14ac:dyDescent="0.25">
      <c r="B55" s="282" t="s">
        <v>34</v>
      </c>
      <c r="C55" s="282"/>
      <c r="D55" s="282"/>
      <c r="E55" s="282"/>
      <c r="F55" s="282"/>
      <c r="G55" s="282"/>
      <c r="H55" s="282"/>
      <c r="I55" s="282"/>
      <c r="J55" s="282"/>
    </row>
    <row r="56" spans="1:13" x14ac:dyDescent="0.25">
      <c r="B56" s="282"/>
      <c r="C56" s="282"/>
      <c r="D56" s="282"/>
      <c r="E56" s="282"/>
      <c r="F56" s="282"/>
      <c r="G56" s="282"/>
      <c r="H56" s="282"/>
      <c r="I56" s="282"/>
      <c r="J56" s="282"/>
    </row>
    <row r="58" spans="1:13" x14ac:dyDescent="0.25">
      <c r="B58" s="1"/>
      <c r="C58" s="281" t="s">
        <v>39</v>
      </c>
      <c r="D58" s="281"/>
      <c r="E58" s="281" t="s">
        <v>40</v>
      </c>
      <c r="F58" s="281"/>
      <c r="G58" s="281" t="s">
        <v>41</v>
      </c>
      <c r="H58" s="281"/>
    </row>
    <row r="59" spans="1:13" x14ac:dyDescent="0.25">
      <c r="B59" s="10" t="s">
        <v>36</v>
      </c>
      <c r="C59" s="283">
        <v>500</v>
      </c>
      <c r="D59" s="284"/>
      <c r="E59" s="283">
        <v>-400</v>
      </c>
      <c r="F59" s="284"/>
      <c r="G59" s="280" t="s">
        <v>44</v>
      </c>
      <c r="H59" s="280"/>
    </row>
    <row r="60" spans="1:13" x14ac:dyDescent="0.25">
      <c r="B60" s="10" t="s">
        <v>37</v>
      </c>
      <c r="C60" s="283">
        <v>-600</v>
      </c>
      <c r="D60" s="284"/>
      <c r="E60" s="285">
        <v>0</v>
      </c>
      <c r="F60" s="284"/>
      <c r="G60" s="280" t="s">
        <v>43</v>
      </c>
      <c r="H60" s="280"/>
    </row>
    <row r="61" spans="1:13" x14ac:dyDescent="0.25">
      <c r="B61" s="10" t="s">
        <v>38</v>
      </c>
      <c r="C61" s="283">
        <v>100</v>
      </c>
      <c r="D61" s="284"/>
      <c r="E61" s="283">
        <v>100</v>
      </c>
      <c r="F61" s="284"/>
      <c r="G61" s="280" t="s">
        <v>42</v>
      </c>
      <c r="H61" s="280"/>
    </row>
    <row r="63" spans="1:13" x14ac:dyDescent="0.25">
      <c r="B63" s="282" t="s">
        <v>45</v>
      </c>
      <c r="C63" s="282"/>
      <c r="D63" s="282"/>
      <c r="E63" s="282"/>
      <c r="F63" s="282"/>
      <c r="G63" s="282"/>
      <c r="H63" s="282"/>
      <c r="I63" s="282"/>
      <c r="J63" s="282"/>
    </row>
    <row r="64" spans="1:13" x14ac:dyDescent="0.25">
      <c r="B64" s="282"/>
      <c r="C64" s="282"/>
      <c r="D64" s="282"/>
      <c r="E64" s="282"/>
      <c r="F64" s="282"/>
      <c r="G64" s="282"/>
      <c r="H64" s="282"/>
      <c r="I64" s="282"/>
      <c r="J64" s="282"/>
    </row>
    <row r="65" spans="2:10" x14ac:dyDescent="0.25">
      <c r="B65" s="282"/>
      <c r="C65" s="282"/>
      <c r="D65" s="282"/>
      <c r="E65" s="282"/>
      <c r="F65" s="282"/>
      <c r="G65" s="282"/>
      <c r="H65" s="282"/>
      <c r="I65" s="282"/>
      <c r="J65" s="282"/>
    </row>
    <row r="67" spans="2:10" x14ac:dyDescent="0.25">
      <c r="B67" s="40" t="s">
        <v>36</v>
      </c>
      <c r="C67" s="40" t="s">
        <v>75</v>
      </c>
      <c r="D67" s="279" t="s">
        <v>68</v>
      </c>
      <c r="E67" s="279"/>
      <c r="F67" s="279"/>
      <c r="G67" s="279"/>
      <c r="H67" s="279"/>
      <c r="I67" s="279"/>
      <c r="J67" s="279"/>
    </row>
    <row r="68" spans="2:10" x14ac:dyDescent="0.25">
      <c r="B68" s="39"/>
      <c r="C68" s="40" t="s">
        <v>76</v>
      </c>
      <c r="D68" s="279" t="s">
        <v>67</v>
      </c>
      <c r="E68" s="279"/>
      <c r="F68" s="279"/>
      <c r="G68" s="279"/>
      <c r="H68" s="279"/>
      <c r="I68" s="279"/>
      <c r="J68" s="279"/>
    </row>
    <row r="69" spans="2:10" x14ac:dyDescent="0.25">
      <c r="B69" s="39"/>
      <c r="C69" s="40" t="s">
        <v>77</v>
      </c>
      <c r="D69" s="279" t="s">
        <v>69</v>
      </c>
      <c r="E69" s="279"/>
      <c r="F69" s="279"/>
      <c r="G69" s="279"/>
      <c r="H69" s="279"/>
      <c r="I69" s="279"/>
      <c r="J69" s="279"/>
    </row>
    <row r="70" spans="2:10" x14ac:dyDescent="0.25">
      <c r="B70" s="39"/>
      <c r="C70" s="39"/>
    </row>
    <row r="71" spans="2:10" x14ac:dyDescent="0.25">
      <c r="B71" s="40" t="s">
        <v>37</v>
      </c>
      <c r="C71" s="40" t="s">
        <v>76</v>
      </c>
      <c r="D71" s="279" t="s">
        <v>71</v>
      </c>
      <c r="E71" s="279"/>
      <c r="F71" s="279"/>
      <c r="G71" s="279"/>
      <c r="H71" s="279"/>
      <c r="I71" s="279"/>
      <c r="J71" s="279"/>
    </row>
    <row r="72" spans="2:10" x14ac:dyDescent="0.25">
      <c r="B72" s="39"/>
      <c r="C72" s="40" t="s">
        <v>77</v>
      </c>
      <c r="D72" s="279" t="s">
        <v>72</v>
      </c>
      <c r="E72" s="279"/>
      <c r="F72" s="279"/>
      <c r="G72" s="279"/>
      <c r="H72" s="279"/>
      <c r="I72" s="279"/>
      <c r="J72" s="279"/>
    </row>
    <row r="73" spans="2:10" x14ac:dyDescent="0.25">
      <c r="B73" s="39"/>
      <c r="C73" s="40" t="s">
        <v>75</v>
      </c>
      <c r="D73" s="279" t="s">
        <v>70</v>
      </c>
      <c r="E73" s="279"/>
      <c r="F73" s="279"/>
      <c r="G73" s="279"/>
      <c r="H73" s="279"/>
      <c r="I73" s="279"/>
      <c r="J73" s="279"/>
    </row>
    <row r="74" spans="2:10" x14ac:dyDescent="0.25">
      <c r="B74" s="39"/>
      <c r="C74" s="39"/>
    </row>
    <row r="75" spans="2:10" x14ac:dyDescent="0.25">
      <c r="B75" s="40" t="s">
        <v>38</v>
      </c>
      <c r="C75" s="40" t="s">
        <v>75</v>
      </c>
      <c r="D75" s="279" t="s">
        <v>73</v>
      </c>
      <c r="E75" s="279"/>
      <c r="F75" s="279"/>
      <c r="G75" s="279"/>
      <c r="H75" s="279"/>
      <c r="I75" s="279"/>
      <c r="J75" s="279"/>
    </row>
    <row r="76" spans="2:10" x14ac:dyDescent="0.25">
      <c r="B76" s="39"/>
      <c r="C76" s="40" t="s">
        <v>76</v>
      </c>
      <c r="D76" s="279" t="s">
        <v>73</v>
      </c>
      <c r="E76" s="279"/>
      <c r="F76" s="279"/>
      <c r="G76" s="279"/>
      <c r="H76" s="279"/>
      <c r="I76" s="279"/>
      <c r="J76" s="279"/>
    </row>
    <row r="77" spans="2:10" x14ac:dyDescent="0.25">
      <c r="B77" s="39"/>
      <c r="C77" s="40" t="s">
        <v>77</v>
      </c>
      <c r="D77" s="279" t="s">
        <v>74</v>
      </c>
      <c r="E77" s="279"/>
      <c r="F77" s="279"/>
      <c r="G77" s="279"/>
      <c r="H77" s="279"/>
      <c r="I77" s="279"/>
      <c r="J77" s="279"/>
    </row>
  </sheetData>
  <mergeCells count="36">
    <mergeCell ref="B2:J4"/>
    <mergeCell ref="B25:L28"/>
    <mergeCell ref="B55:J56"/>
    <mergeCell ref="A14:B14"/>
    <mergeCell ref="A15:B15"/>
    <mergeCell ref="A16:B16"/>
    <mergeCell ref="A34:B35"/>
    <mergeCell ref="A47:C47"/>
    <mergeCell ref="K47:N47"/>
    <mergeCell ref="C38:C39"/>
    <mergeCell ref="B44:C44"/>
    <mergeCell ref="B45:C45"/>
    <mergeCell ref="B46:C46"/>
    <mergeCell ref="B43:C43"/>
    <mergeCell ref="G58:H58"/>
    <mergeCell ref="B63:J65"/>
    <mergeCell ref="C59:D59"/>
    <mergeCell ref="C60:D60"/>
    <mergeCell ref="C61:D61"/>
    <mergeCell ref="E58:F58"/>
    <mergeCell ref="E59:F59"/>
    <mergeCell ref="E60:F60"/>
    <mergeCell ref="E61:F61"/>
    <mergeCell ref="C58:D58"/>
    <mergeCell ref="D73:J73"/>
    <mergeCell ref="D75:J75"/>
    <mergeCell ref="D76:J76"/>
    <mergeCell ref="D77:J77"/>
    <mergeCell ref="G59:H59"/>
    <mergeCell ref="G60:H60"/>
    <mergeCell ref="G61:H61"/>
    <mergeCell ref="D67:J67"/>
    <mergeCell ref="D68:J68"/>
    <mergeCell ref="D69:J69"/>
    <mergeCell ref="D71:J71"/>
    <mergeCell ref="D72:J7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12D2-1C91-409B-A140-E3C5CFFDC697}">
  <sheetPr>
    <tabColor rgb="FFFF0000"/>
  </sheetPr>
  <dimension ref="A1:AA349"/>
  <sheetViews>
    <sheetView topLeftCell="A107" zoomScale="90" zoomScaleNormal="90" workbookViewId="0">
      <selection activeCell="L60" sqref="L60"/>
    </sheetView>
  </sheetViews>
  <sheetFormatPr baseColWidth="10" defaultRowHeight="15" x14ac:dyDescent="0.25"/>
  <cols>
    <col min="1" max="1" width="12.28515625" customWidth="1"/>
    <col min="2" max="2" width="22.85546875" customWidth="1"/>
    <col min="3" max="3" width="15.5703125" bestFit="1" customWidth="1"/>
    <col min="5" max="5" width="15.28515625" customWidth="1"/>
    <col min="6" max="6" width="13" bestFit="1" customWidth="1"/>
    <col min="8" max="8" width="16" customWidth="1"/>
    <col min="10" max="10" width="15.5703125" customWidth="1"/>
    <col min="11" max="11" width="13" bestFit="1" customWidth="1"/>
    <col min="12" max="12" width="15.42578125" bestFit="1" customWidth="1"/>
    <col min="13" max="13" width="12.7109375" customWidth="1"/>
  </cols>
  <sheetData>
    <row r="1" spans="1:13" x14ac:dyDescent="0.25">
      <c r="A1" s="46" t="s">
        <v>89</v>
      </c>
    </row>
    <row r="2" spans="1:13" ht="15" customHeight="1" x14ac:dyDescent="0.25">
      <c r="B2" s="269" t="s">
        <v>85</v>
      </c>
      <c r="C2" s="269"/>
      <c r="D2" s="269"/>
      <c r="E2" s="269"/>
      <c r="F2" s="269"/>
      <c r="G2" s="269"/>
      <c r="H2" s="269"/>
      <c r="I2" s="269"/>
      <c r="J2" s="269"/>
      <c r="K2" s="269"/>
      <c r="L2" s="269"/>
      <c r="M2" s="269"/>
    </row>
    <row r="3" spans="1:13" x14ac:dyDescent="0.25">
      <c r="B3" s="269"/>
      <c r="C3" s="269"/>
      <c r="D3" s="269"/>
      <c r="E3" s="269"/>
      <c r="F3" s="269"/>
      <c r="G3" s="269"/>
      <c r="H3" s="269"/>
      <c r="I3" s="269"/>
      <c r="J3" s="269"/>
      <c r="K3" s="269"/>
      <c r="L3" s="269"/>
      <c r="M3" s="269"/>
    </row>
    <row r="4" spans="1:13" x14ac:dyDescent="0.25">
      <c r="B4" s="269"/>
      <c r="C4" s="269"/>
      <c r="D4" s="269"/>
      <c r="E4" s="269"/>
      <c r="F4" s="269"/>
      <c r="G4" s="269"/>
      <c r="H4" s="269"/>
      <c r="I4" s="269"/>
      <c r="J4" s="269"/>
      <c r="K4" s="269"/>
      <c r="L4" s="269"/>
      <c r="M4" s="269"/>
    </row>
    <row r="5" spans="1:13" ht="15" customHeight="1" x14ac:dyDescent="0.25">
      <c r="B5" s="269" t="s">
        <v>86</v>
      </c>
      <c r="C5" s="269"/>
      <c r="D5" s="269"/>
      <c r="E5" s="269"/>
      <c r="F5" s="269"/>
      <c r="G5" s="269"/>
      <c r="H5" s="269"/>
      <c r="I5" s="269"/>
      <c r="J5" s="269"/>
      <c r="K5" s="269"/>
      <c r="L5" s="269"/>
      <c r="M5" s="269"/>
    </row>
    <row r="6" spans="1:13" x14ac:dyDescent="0.25">
      <c r="B6" s="269"/>
      <c r="C6" s="269"/>
      <c r="D6" s="269"/>
      <c r="E6" s="269"/>
      <c r="F6" s="269"/>
      <c r="G6" s="269"/>
      <c r="H6" s="269"/>
      <c r="I6" s="269"/>
      <c r="J6" s="269"/>
      <c r="K6" s="269"/>
      <c r="L6" s="269"/>
      <c r="M6" s="269"/>
    </row>
    <row r="7" spans="1:13" x14ac:dyDescent="0.25">
      <c r="B7" s="269"/>
      <c r="C7" s="269"/>
      <c r="D7" s="269"/>
      <c r="E7" s="269"/>
      <c r="F7" s="269"/>
      <c r="G7" s="269"/>
      <c r="H7" s="269"/>
      <c r="I7" s="269"/>
      <c r="J7" s="269"/>
      <c r="K7" s="269"/>
      <c r="L7" s="269"/>
      <c r="M7" s="269"/>
    </row>
    <row r="8" spans="1:13" x14ac:dyDescent="0.25">
      <c r="B8" s="49"/>
      <c r="C8" s="49"/>
      <c r="D8" s="49"/>
      <c r="E8" s="49"/>
      <c r="F8" s="49"/>
      <c r="G8" s="49"/>
      <c r="H8" s="49"/>
      <c r="I8" s="49"/>
      <c r="J8" s="49"/>
      <c r="K8" s="49"/>
      <c r="L8" s="49"/>
      <c r="M8" s="49"/>
    </row>
    <row r="9" spans="1:13" ht="15" customHeight="1" x14ac:dyDescent="0.25">
      <c r="B9" s="269" t="s">
        <v>87</v>
      </c>
      <c r="C9" s="269"/>
      <c r="D9" s="269"/>
      <c r="E9" s="269"/>
      <c r="F9" s="269"/>
      <c r="G9" s="269"/>
      <c r="H9" s="269"/>
      <c r="I9" s="269"/>
      <c r="J9" s="269"/>
      <c r="K9" s="269"/>
      <c r="L9" s="269"/>
      <c r="M9" s="269"/>
    </row>
    <row r="10" spans="1:13" x14ac:dyDescent="0.25">
      <c r="B10" s="269"/>
      <c r="C10" s="269"/>
      <c r="D10" s="269"/>
      <c r="E10" s="269"/>
      <c r="F10" s="269"/>
      <c r="G10" s="269"/>
      <c r="H10" s="269"/>
      <c r="I10" s="269"/>
      <c r="J10" s="269"/>
      <c r="K10" s="269"/>
      <c r="L10" s="269"/>
      <c r="M10" s="269"/>
    </row>
    <row r="11" spans="1:13" x14ac:dyDescent="0.25">
      <c r="B11" s="269"/>
      <c r="C11" s="269"/>
      <c r="D11" s="269"/>
      <c r="E11" s="269"/>
      <c r="F11" s="269"/>
      <c r="G11" s="269"/>
      <c r="H11" s="269"/>
      <c r="I11" s="269"/>
      <c r="J11" s="269"/>
      <c r="K11" s="269"/>
      <c r="L11" s="269"/>
      <c r="M11" s="269"/>
    </row>
    <row r="12" spans="1:13" x14ac:dyDescent="0.25">
      <c r="B12" s="47"/>
      <c r="C12" s="47"/>
      <c r="D12" s="47"/>
      <c r="E12" s="47"/>
      <c r="F12" s="47"/>
      <c r="G12" s="47"/>
      <c r="H12" s="47"/>
      <c r="I12" s="47"/>
      <c r="J12" s="47"/>
      <c r="K12" s="47"/>
      <c r="L12" s="47"/>
      <c r="M12" s="47"/>
    </row>
    <row r="13" spans="1:13" ht="15" customHeight="1" x14ac:dyDescent="0.25">
      <c r="B13" s="269" t="s">
        <v>88</v>
      </c>
      <c r="C13" s="269"/>
      <c r="D13" s="269"/>
      <c r="E13" s="269"/>
      <c r="F13" s="269"/>
      <c r="G13" s="269"/>
      <c r="H13" s="269"/>
      <c r="I13" s="269"/>
      <c r="J13" s="269"/>
      <c r="K13" s="269"/>
      <c r="L13" s="269"/>
      <c r="M13" s="269"/>
    </row>
    <row r="14" spans="1:13" ht="15" customHeight="1" x14ac:dyDescent="0.25">
      <c r="B14" s="9"/>
      <c r="C14" s="9"/>
      <c r="D14" s="9"/>
      <c r="E14" s="9"/>
      <c r="F14" s="9"/>
      <c r="G14" s="9"/>
      <c r="H14" s="9"/>
      <c r="I14" s="9"/>
      <c r="J14" s="9"/>
      <c r="K14" s="9"/>
      <c r="L14" s="9"/>
      <c r="M14" s="9"/>
    </row>
    <row r="15" spans="1:13" ht="15" customHeight="1" x14ac:dyDescent="0.25">
      <c r="A15" s="51" t="s">
        <v>98</v>
      </c>
      <c r="B15" s="66" t="s">
        <v>110</v>
      </c>
      <c r="C15" s="64">
        <v>0.01</v>
      </c>
      <c r="D15" s="9"/>
      <c r="E15" s="289" t="s">
        <v>99</v>
      </c>
      <c r="F15" s="289"/>
      <c r="G15" s="65">
        <v>5.0000000000000001E-3</v>
      </c>
      <c r="H15" s="9"/>
      <c r="I15" s="157" t="s">
        <v>100</v>
      </c>
      <c r="J15" s="158">
        <f>200000</f>
        <v>200000</v>
      </c>
      <c r="K15" s="9"/>
      <c r="L15" s="9"/>
      <c r="M15" s="9"/>
    </row>
    <row r="16" spans="1:13" ht="15" customHeight="1" x14ac:dyDescent="0.25">
      <c r="B16" s="66" t="s">
        <v>111</v>
      </c>
      <c r="C16" s="65">
        <v>1.2E-2</v>
      </c>
      <c r="D16" s="9"/>
      <c r="E16" s="9"/>
      <c r="F16" s="26">
        <v>1</v>
      </c>
      <c r="G16" s="75">
        <f>J15*G15</f>
        <v>1000</v>
      </c>
      <c r="H16" s="9"/>
      <c r="I16" s="159"/>
      <c r="J16" s="160"/>
      <c r="K16" s="9"/>
      <c r="L16" s="9"/>
      <c r="M16" s="9"/>
    </row>
    <row r="17" spans="1:13" ht="15" customHeight="1" x14ac:dyDescent="0.25">
      <c r="B17" s="66" t="s">
        <v>112</v>
      </c>
      <c r="C17" s="63" t="s">
        <v>113</v>
      </c>
      <c r="D17" s="9"/>
      <c r="F17">
        <v>2</v>
      </c>
      <c r="G17" s="75">
        <f>J18*G15</f>
        <v>1056.2125498479952</v>
      </c>
      <c r="H17" s="9"/>
      <c r="I17" s="9"/>
      <c r="J17" s="9"/>
      <c r="K17" s="9"/>
      <c r="L17" s="9"/>
      <c r="M17" s="9"/>
    </row>
    <row r="18" spans="1:13" ht="15" customHeight="1" x14ac:dyDescent="0.25">
      <c r="B18" s="66" t="s">
        <v>108</v>
      </c>
      <c r="C18" s="63" t="s">
        <v>109</v>
      </c>
      <c r="D18" s="9"/>
      <c r="G18" s="9"/>
      <c r="H18" s="9"/>
      <c r="I18" s="56" t="s">
        <v>101</v>
      </c>
      <c r="J18" s="57">
        <f>(J15-G16)*(1+C15)^6</f>
        <v>211242.50996959902</v>
      </c>
      <c r="K18" s="52"/>
      <c r="L18" s="9"/>
      <c r="M18" s="9"/>
    </row>
    <row r="19" spans="1:13" ht="15" customHeight="1" x14ac:dyDescent="0.25">
      <c r="B19" s="66" t="s">
        <v>114</v>
      </c>
      <c r="C19" s="63">
        <f>6</f>
        <v>6</v>
      </c>
      <c r="D19" s="9"/>
      <c r="E19" s="9"/>
      <c r="F19" s="9"/>
      <c r="G19" s="9"/>
      <c r="H19" s="9"/>
      <c r="I19" s="72" t="s">
        <v>102</v>
      </c>
      <c r="J19" s="58">
        <f>(J18-G17)*(1+C16)^C19</f>
        <v>225781.04296561857</v>
      </c>
      <c r="K19" s="9"/>
      <c r="L19" s="9"/>
      <c r="M19" s="9"/>
    </row>
    <row r="20" spans="1:13" ht="15" customHeight="1" x14ac:dyDescent="0.25">
      <c r="B20" s="9"/>
      <c r="C20" s="9"/>
      <c r="D20" s="9"/>
      <c r="E20" s="9"/>
      <c r="F20" s="9"/>
      <c r="G20" s="9"/>
      <c r="H20" s="9"/>
      <c r="I20" s="9"/>
      <c r="J20" s="9"/>
      <c r="K20" s="9"/>
      <c r="L20" s="9"/>
      <c r="M20" s="9"/>
    </row>
    <row r="21" spans="1:13" s="50" customFormat="1" ht="15" customHeight="1" x14ac:dyDescent="0.25">
      <c r="A21" s="53" t="s">
        <v>103</v>
      </c>
      <c r="B21" s="67" t="s">
        <v>107</v>
      </c>
      <c r="C21" s="68">
        <v>0.11</v>
      </c>
      <c r="E21" s="67" t="s">
        <v>100</v>
      </c>
      <c r="F21" s="69">
        <v>200000</v>
      </c>
    </row>
    <row r="22" spans="1:13" s="50" customFormat="1" ht="15" customHeight="1" x14ac:dyDescent="0.25">
      <c r="A22" s="53"/>
      <c r="E22" s="70" t="s">
        <v>104</v>
      </c>
      <c r="F22" s="71">
        <f>F21+(C21*F21)</f>
        <v>222000</v>
      </c>
    </row>
    <row r="23" spans="1:13" s="50" customFormat="1" ht="15" customHeight="1" x14ac:dyDescent="0.25">
      <c r="A23" s="53"/>
    </row>
    <row r="24" spans="1:13" x14ac:dyDescent="0.25">
      <c r="A24" s="51" t="s">
        <v>106</v>
      </c>
      <c r="B24" s="67" t="s">
        <v>100</v>
      </c>
      <c r="C24" s="69">
        <f>200000</f>
        <v>200000</v>
      </c>
      <c r="D24" s="50"/>
      <c r="E24" s="59" t="s">
        <v>105</v>
      </c>
      <c r="F24" s="73">
        <v>3.15</v>
      </c>
      <c r="G24" s="74">
        <f>C24/F24</f>
        <v>63492.063492063491</v>
      </c>
      <c r="H24" s="45"/>
      <c r="I24" s="161" t="s">
        <v>233</v>
      </c>
      <c r="J24" s="162">
        <f>J19</f>
        <v>225781.04296561857</v>
      </c>
      <c r="K24" s="45"/>
      <c r="L24" s="45"/>
      <c r="M24" s="45"/>
    </row>
    <row r="25" spans="1:13" x14ac:dyDescent="0.25">
      <c r="A25" s="51"/>
      <c r="B25" s="70" t="s">
        <v>104</v>
      </c>
      <c r="C25" s="71">
        <f>F25*G25</f>
        <v>222222.22222222222</v>
      </c>
      <c r="D25" s="50"/>
      <c r="E25" s="59" t="s">
        <v>105</v>
      </c>
      <c r="F25" s="73">
        <v>3.5</v>
      </c>
      <c r="G25" s="74">
        <f>G24</f>
        <v>63492.063492063491</v>
      </c>
      <c r="H25" s="45"/>
      <c r="I25" s="163" t="s">
        <v>234</v>
      </c>
      <c r="J25" s="164">
        <f>F22</f>
        <v>222000</v>
      </c>
      <c r="K25" s="45"/>
      <c r="L25" s="45"/>
      <c r="M25" s="45"/>
    </row>
    <row r="26" spans="1:13" x14ac:dyDescent="0.25">
      <c r="A26" s="51"/>
      <c r="B26" s="8"/>
      <c r="C26" s="55"/>
      <c r="D26" s="50"/>
      <c r="E26" s="8"/>
      <c r="F26" s="54"/>
      <c r="G26" s="50"/>
      <c r="H26" s="45"/>
      <c r="I26" s="163" t="s">
        <v>235</v>
      </c>
      <c r="J26" s="164">
        <f>C25</f>
        <v>222222.22222222222</v>
      </c>
      <c r="K26" s="45"/>
      <c r="L26" s="45"/>
      <c r="M26" s="45"/>
    </row>
    <row r="27" spans="1:13" x14ac:dyDescent="0.25">
      <c r="A27" s="51"/>
      <c r="B27" s="314" t="s">
        <v>232</v>
      </c>
      <c r="C27" s="315"/>
      <c r="D27" s="315"/>
      <c r="E27" s="315"/>
      <c r="F27" s="315"/>
      <c r="G27" s="315"/>
      <c r="H27" s="315"/>
      <c r="I27" s="315"/>
      <c r="J27" s="315"/>
      <c r="K27" s="315"/>
      <c r="L27" s="315"/>
      <c r="M27" s="315"/>
    </row>
    <row r="29" spans="1:13" x14ac:dyDescent="0.25">
      <c r="A29" s="46" t="s">
        <v>90</v>
      </c>
    </row>
    <row r="30" spans="1:13" ht="15" customHeight="1" x14ac:dyDescent="0.25">
      <c r="B30" s="269" t="s">
        <v>84</v>
      </c>
      <c r="C30" s="269"/>
      <c r="D30" s="269"/>
      <c r="E30" s="269"/>
      <c r="F30" s="269"/>
      <c r="G30" s="269"/>
      <c r="H30" s="269"/>
      <c r="I30" s="269"/>
      <c r="J30" s="269"/>
      <c r="K30" s="269"/>
      <c r="L30" s="269"/>
      <c r="M30" s="269"/>
    </row>
    <row r="31" spans="1:13" ht="15" customHeight="1" x14ac:dyDescent="0.25">
      <c r="B31" s="269" t="s">
        <v>95</v>
      </c>
      <c r="C31" s="269"/>
      <c r="D31" s="269"/>
      <c r="E31" s="269"/>
      <c r="F31" s="269"/>
      <c r="G31" s="269"/>
      <c r="H31" s="269"/>
      <c r="I31" s="269"/>
      <c r="J31" s="269"/>
      <c r="K31" s="269"/>
      <c r="L31" s="269"/>
      <c r="M31" s="269"/>
    </row>
    <row r="32" spans="1:13" x14ac:dyDescent="0.25">
      <c r="B32" s="269"/>
      <c r="C32" s="269"/>
      <c r="D32" s="269"/>
      <c r="E32" s="269"/>
      <c r="F32" s="269"/>
      <c r="G32" s="269"/>
      <c r="H32" s="269"/>
      <c r="I32" s="269"/>
      <c r="J32" s="269"/>
      <c r="K32" s="269"/>
      <c r="L32" s="269"/>
      <c r="M32" s="269"/>
    </row>
    <row r="33" spans="1:13" x14ac:dyDescent="0.25">
      <c r="B33" s="269"/>
      <c r="C33" s="269"/>
      <c r="D33" s="269"/>
      <c r="E33" s="269"/>
      <c r="F33" s="269"/>
      <c r="G33" s="269"/>
      <c r="H33" s="269"/>
      <c r="I33" s="269"/>
      <c r="J33" s="269"/>
      <c r="K33" s="269"/>
      <c r="L33" s="269"/>
      <c r="M33" s="269"/>
    </row>
    <row r="34" spans="1:13" x14ac:dyDescent="0.25">
      <c r="B34" s="47"/>
      <c r="C34" s="47"/>
      <c r="D34" s="47"/>
      <c r="E34" s="47"/>
      <c r="F34" s="47"/>
      <c r="G34" s="47"/>
      <c r="H34" s="47"/>
      <c r="I34" s="48"/>
      <c r="J34" s="48"/>
      <c r="K34" s="48"/>
      <c r="L34" s="48"/>
      <c r="M34" s="48"/>
    </row>
    <row r="35" spans="1:13" ht="15" customHeight="1" x14ac:dyDescent="0.25">
      <c r="B35" s="269" t="s">
        <v>96</v>
      </c>
      <c r="C35" s="269"/>
      <c r="D35" s="269"/>
      <c r="E35" s="269"/>
      <c r="F35" s="269"/>
      <c r="G35" s="269"/>
      <c r="H35" s="269"/>
      <c r="I35" s="269"/>
      <c r="J35" s="269"/>
      <c r="K35" s="269"/>
      <c r="L35" s="269"/>
      <c r="M35" s="269"/>
    </row>
    <row r="36" spans="1:13" ht="15" customHeight="1" x14ac:dyDescent="0.25">
      <c r="B36" s="269"/>
      <c r="C36" s="269"/>
      <c r="D36" s="269"/>
      <c r="E36" s="269"/>
      <c r="F36" s="269"/>
      <c r="G36" s="269"/>
      <c r="H36" s="269"/>
      <c r="I36" s="269"/>
      <c r="J36" s="269"/>
      <c r="K36" s="269"/>
      <c r="L36" s="269"/>
      <c r="M36" s="269"/>
    </row>
    <row r="37" spans="1:13" x14ac:dyDescent="0.25">
      <c r="B37" s="47"/>
      <c r="C37" s="47"/>
      <c r="D37" s="47"/>
      <c r="E37" s="47"/>
      <c r="F37" s="47"/>
      <c r="G37" s="47"/>
      <c r="H37" s="47"/>
      <c r="I37" s="48"/>
      <c r="J37" s="48"/>
      <c r="K37" s="48"/>
      <c r="L37" s="48"/>
      <c r="M37" s="48"/>
    </row>
    <row r="38" spans="1:13" ht="15" customHeight="1" x14ac:dyDescent="0.25">
      <c r="B38" s="269" t="s">
        <v>97</v>
      </c>
      <c r="C38" s="269"/>
      <c r="D38" s="269"/>
      <c r="E38" s="269"/>
      <c r="F38" s="269"/>
      <c r="G38" s="269"/>
      <c r="H38" s="269"/>
      <c r="I38" s="269"/>
      <c r="J38" s="269"/>
      <c r="K38" s="269"/>
      <c r="L38" s="269"/>
      <c r="M38" s="269"/>
    </row>
    <row r="39" spans="1:13" x14ac:dyDescent="0.25">
      <c r="B39" s="47"/>
      <c r="C39" s="267" t="s">
        <v>91</v>
      </c>
      <c r="D39" s="267"/>
      <c r="E39" s="267"/>
      <c r="F39" s="267"/>
      <c r="G39" s="267"/>
      <c r="H39" s="267"/>
      <c r="I39" s="267"/>
      <c r="J39" s="267"/>
      <c r="K39" s="267"/>
      <c r="L39" s="267"/>
      <c r="M39" s="267"/>
    </row>
    <row r="40" spans="1:13" ht="15" customHeight="1" x14ac:dyDescent="0.25">
      <c r="B40" s="47"/>
      <c r="C40" s="267" t="s">
        <v>94</v>
      </c>
      <c r="D40" s="267"/>
      <c r="E40" s="267"/>
      <c r="F40" s="267"/>
      <c r="G40" s="267"/>
      <c r="H40" s="267"/>
      <c r="I40" s="267"/>
      <c r="J40" s="267"/>
      <c r="K40" s="267"/>
      <c r="L40" s="267"/>
      <c r="M40" s="267"/>
    </row>
    <row r="41" spans="1:13" x14ac:dyDescent="0.25">
      <c r="B41" s="47"/>
      <c r="C41" s="267" t="s">
        <v>92</v>
      </c>
      <c r="D41" s="267"/>
      <c r="E41" s="267"/>
      <c r="F41" s="267"/>
      <c r="G41" s="267"/>
      <c r="H41" s="267"/>
      <c r="I41" s="267"/>
      <c r="J41" s="267"/>
      <c r="K41" s="267"/>
      <c r="L41" s="267"/>
      <c r="M41" s="267"/>
    </row>
    <row r="42" spans="1:13" x14ac:dyDescent="0.25">
      <c r="B42" s="47"/>
      <c r="C42" s="267" t="s">
        <v>93</v>
      </c>
      <c r="D42" s="267"/>
      <c r="E42" s="267"/>
      <c r="F42" s="267"/>
      <c r="G42" s="267"/>
      <c r="H42" s="267"/>
      <c r="I42" s="267"/>
      <c r="J42" s="267"/>
      <c r="K42" s="267"/>
      <c r="L42" s="267"/>
      <c r="M42" s="267"/>
    </row>
    <row r="43" spans="1:13" x14ac:dyDescent="0.25">
      <c r="B43" s="45"/>
      <c r="C43" s="45"/>
      <c r="D43" s="45"/>
      <c r="E43" s="82" t="s">
        <v>119</v>
      </c>
      <c r="F43" s="45"/>
      <c r="G43" s="45"/>
      <c r="H43" s="45"/>
    </row>
    <row r="44" spans="1:13" x14ac:dyDescent="0.25">
      <c r="A44" s="51" t="s">
        <v>115</v>
      </c>
      <c r="B44" s="313" t="s">
        <v>118</v>
      </c>
      <c r="C44" s="313"/>
      <c r="D44" s="80">
        <v>0.2</v>
      </c>
      <c r="E44" s="81">
        <v>60</v>
      </c>
      <c r="G44" s="316" t="s">
        <v>121</v>
      </c>
      <c r="H44" s="316"/>
      <c r="I44" s="83">
        <f>J44-1</f>
        <v>0.11804638859084471</v>
      </c>
      <c r="J44" s="84">
        <f>(1+D44)^(E44/365)*(1+D45)^(E45/365)*(1+D46)^(E46/365)</f>
        <v>1.1180463885908447</v>
      </c>
    </row>
    <row r="45" spans="1:13" ht="15" customHeight="1" x14ac:dyDescent="0.25">
      <c r="A45" s="51"/>
      <c r="B45" s="313" t="s">
        <v>118</v>
      </c>
      <c r="C45" s="313"/>
      <c r="D45" s="80">
        <v>0.23</v>
      </c>
      <c r="E45" s="81">
        <v>90</v>
      </c>
      <c r="G45" s="317" t="s">
        <v>122</v>
      </c>
      <c r="H45" s="318"/>
      <c r="I45" s="83">
        <f>J45-1</f>
        <v>1.6878285489193123E-2</v>
      </c>
      <c r="J45" s="84">
        <f>(1+I44)^(30/200)</f>
        <v>1.0168782854891931</v>
      </c>
    </row>
    <row r="46" spans="1:13" x14ac:dyDescent="0.25">
      <c r="A46" s="51"/>
      <c r="B46" s="313" t="s">
        <v>118</v>
      </c>
      <c r="C46" s="313"/>
      <c r="D46" s="80">
        <v>0.25</v>
      </c>
      <c r="E46" s="81">
        <v>50</v>
      </c>
      <c r="G46" s="270" t="s">
        <v>123</v>
      </c>
      <c r="H46" s="270"/>
      <c r="I46" s="83">
        <f>J46-1</f>
        <v>0.22585521007424481</v>
      </c>
      <c r="J46" s="84">
        <f>(1+I44)^(365/200)</f>
        <v>1.2258552100742448</v>
      </c>
    </row>
    <row r="47" spans="1:13" x14ac:dyDescent="0.25">
      <c r="A47" s="51"/>
      <c r="B47" s="76"/>
      <c r="C47" s="76"/>
      <c r="D47" s="77"/>
      <c r="E47" s="76"/>
      <c r="G47" s="76"/>
      <c r="H47" s="76"/>
      <c r="I47" t="s">
        <v>124</v>
      </c>
      <c r="J47" s="13"/>
    </row>
    <row r="48" spans="1:13" x14ac:dyDescent="0.25">
      <c r="A48" s="51"/>
    </row>
    <row r="49" spans="1:24" x14ac:dyDescent="0.25">
      <c r="A49" s="51" t="s">
        <v>116</v>
      </c>
      <c r="B49" s="85" t="s">
        <v>100</v>
      </c>
      <c r="C49" s="86">
        <f>800000</f>
        <v>800000</v>
      </c>
      <c r="G49">
        <f>(C49+C50)/C49</f>
        <v>1.0131250000000001</v>
      </c>
      <c r="J49" s="1">
        <v>1</v>
      </c>
      <c r="K49" s="1">
        <f>J49+1</f>
        <v>2</v>
      </c>
      <c r="L49" s="1">
        <f t="shared" ref="L49:P49" si="0">K49+1</f>
        <v>3</v>
      </c>
      <c r="M49" s="1">
        <f t="shared" si="0"/>
        <v>4</v>
      </c>
      <c r="N49" s="1">
        <f t="shared" si="0"/>
        <v>5</v>
      </c>
      <c r="O49" s="1">
        <f t="shared" si="0"/>
        <v>6</v>
      </c>
      <c r="P49" s="1">
        <f t="shared" si="0"/>
        <v>7</v>
      </c>
      <c r="Q49" s="1">
        <f>P49+1</f>
        <v>8</v>
      </c>
      <c r="R49" s="1">
        <f t="shared" ref="R49" si="1">Q49+1</f>
        <v>9</v>
      </c>
      <c r="S49" s="1">
        <f>R49+1</f>
        <v>10</v>
      </c>
      <c r="T49" s="1">
        <f t="shared" ref="T49" si="2">S49+1</f>
        <v>11</v>
      </c>
      <c r="U49" s="1">
        <f>T49+1</f>
        <v>12</v>
      </c>
      <c r="V49" s="1">
        <f t="shared" ref="V49" si="3">U49+1</f>
        <v>13</v>
      </c>
    </row>
    <row r="50" spans="1:24" x14ac:dyDescent="0.25">
      <c r="A50" s="51"/>
      <c r="B50" s="85" t="s">
        <v>120</v>
      </c>
      <c r="C50" s="86">
        <v>10500</v>
      </c>
      <c r="E50" s="270" t="s">
        <v>125</v>
      </c>
      <c r="F50" s="270"/>
      <c r="G50" s="87">
        <f>G49-1</f>
        <v>1.3125000000000053E-2</v>
      </c>
      <c r="H50" s="87">
        <f>C50/C49</f>
        <v>1.3125E-2</v>
      </c>
      <c r="J50" s="92">
        <f>-C49</f>
        <v>-800000</v>
      </c>
      <c r="K50" s="92"/>
      <c r="L50" s="92"/>
      <c r="M50" s="92"/>
      <c r="N50" s="92"/>
      <c r="O50" s="92"/>
      <c r="P50" s="92"/>
      <c r="Q50" s="92"/>
      <c r="R50" s="92"/>
      <c r="S50" s="92"/>
      <c r="T50" s="92"/>
      <c r="U50" s="92"/>
      <c r="V50" s="92"/>
      <c r="W50" s="241"/>
      <c r="X50" s="241"/>
    </row>
    <row r="51" spans="1:24" x14ac:dyDescent="0.25">
      <c r="A51" s="51"/>
      <c r="E51" s="270" t="s">
        <v>126</v>
      </c>
      <c r="F51" s="270"/>
      <c r="G51" s="83">
        <f>H51-1</f>
        <v>0.16938195084111674</v>
      </c>
      <c r="H51" s="84">
        <f>(1+G50)^(12/1)</f>
        <v>1.1693819508411167</v>
      </c>
      <c r="J51" s="92"/>
      <c r="K51" s="92">
        <f>$C$50</f>
        <v>10500</v>
      </c>
      <c r="L51" s="92">
        <f t="shared" ref="L51:U51" si="4">$C$50</f>
        <v>10500</v>
      </c>
      <c r="M51" s="92">
        <f t="shared" si="4"/>
        <v>10500</v>
      </c>
      <c r="N51" s="92">
        <f t="shared" si="4"/>
        <v>10500</v>
      </c>
      <c r="O51" s="92">
        <f t="shared" si="4"/>
        <v>10500</v>
      </c>
      <c r="P51" s="92">
        <f t="shared" si="4"/>
        <v>10500</v>
      </c>
      <c r="Q51" s="92">
        <f t="shared" si="4"/>
        <v>10500</v>
      </c>
      <c r="R51" s="92">
        <f t="shared" si="4"/>
        <v>10500</v>
      </c>
      <c r="S51" s="92">
        <f t="shared" si="4"/>
        <v>10500</v>
      </c>
      <c r="T51" s="92">
        <f t="shared" si="4"/>
        <v>10500</v>
      </c>
      <c r="U51" s="92">
        <f t="shared" si="4"/>
        <v>10500</v>
      </c>
      <c r="V51" s="92">
        <f>$C$50+-J50</f>
        <v>810500</v>
      </c>
      <c r="W51" s="241"/>
      <c r="X51" s="241">
        <f>SUM(J50:V51)</f>
        <v>126000</v>
      </c>
    </row>
    <row r="52" spans="1:24" x14ac:dyDescent="0.25">
      <c r="A52" s="51"/>
      <c r="E52" s="88"/>
      <c r="F52" s="88"/>
      <c r="G52" s="89"/>
      <c r="H52" s="90"/>
      <c r="J52" s="92">
        <f>SUM(J50:J51)</f>
        <v>-800000</v>
      </c>
      <c r="K52" s="92">
        <f t="shared" ref="K52" si="5">SUM(K50:K51)</f>
        <v>10500</v>
      </c>
      <c r="L52" s="92">
        <f t="shared" ref="L52" si="6">SUM(L50:L51)</f>
        <v>10500</v>
      </c>
      <c r="M52" s="92">
        <f t="shared" ref="M52" si="7">SUM(M50:M51)</f>
        <v>10500</v>
      </c>
      <c r="N52" s="92">
        <f t="shared" ref="N52" si="8">SUM(N50:N51)</f>
        <v>10500</v>
      </c>
      <c r="O52" s="92">
        <f t="shared" ref="O52" si="9">SUM(O50:O51)</f>
        <v>10500</v>
      </c>
      <c r="P52" s="92">
        <f t="shared" ref="P52" si="10">SUM(P50:P51)</f>
        <v>10500</v>
      </c>
      <c r="Q52" s="92">
        <f t="shared" ref="Q52" si="11">SUM(Q50:Q51)</f>
        <v>10500</v>
      </c>
      <c r="R52" s="92">
        <f t="shared" ref="R52" si="12">SUM(R50:R51)</f>
        <v>10500</v>
      </c>
      <c r="S52" s="92">
        <f t="shared" ref="S52" si="13">SUM(S50:S51)</f>
        <v>10500</v>
      </c>
      <c r="T52" s="92">
        <f t="shared" ref="T52" si="14">SUM(T50:T51)</f>
        <v>10500</v>
      </c>
      <c r="U52" s="92">
        <f t="shared" ref="U52" si="15">SUM(U50:U51)</f>
        <v>10500</v>
      </c>
      <c r="V52" s="92">
        <f t="shared" ref="V52" si="16">SUM(V50:V51)</f>
        <v>810500</v>
      </c>
      <c r="W52" s="241"/>
      <c r="X52" s="241"/>
    </row>
    <row r="53" spans="1:24" x14ac:dyDescent="0.25">
      <c r="A53" s="51" t="s">
        <v>117</v>
      </c>
      <c r="J53" s="20">
        <v>0</v>
      </c>
      <c r="K53" s="20">
        <f>J53+1</f>
        <v>1</v>
      </c>
      <c r="L53" s="20">
        <f t="shared" ref="L53:W53" si="17">K53+1</f>
        <v>2</v>
      </c>
      <c r="M53" s="20">
        <f t="shared" si="17"/>
        <v>3</v>
      </c>
      <c r="N53" s="20">
        <f t="shared" si="17"/>
        <v>4</v>
      </c>
      <c r="O53" s="20">
        <f t="shared" si="17"/>
        <v>5</v>
      </c>
      <c r="P53" s="20">
        <f t="shared" si="17"/>
        <v>6</v>
      </c>
      <c r="Q53" s="20">
        <f t="shared" si="17"/>
        <v>7</v>
      </c>
      <c r="R53" s="20">
        <f t="shared" si="17"/>
        <v>8</v>
      </c>
      <c r="S53" s="20">
        <f t="shared" si="17"/>
        <v>9</v>
      </c>
      <c r="T53" s="20">
        <f t="shared" si="17"/>
        <v>10</v>
      </c>
      <c r="U53" s="20">
        <f t="shared" si="17"/>
        <v>11</v>
      </c>
      <c r="V53" s="20">
        <f t="shared" si="17"/>
        <v>12</v>
      </c>
      <c r="W53" s="20">
        <f t="shared" si="17"/>
        <v>13</v>
      </c>
      <c r="X53" s="241"/>
    </row>
    <row r="54" spans="1:24" x14ac:dyDescent="0.25">
      <c r="B54" s="1"/>
      <c r="C54" s="1" t="s">
        <v>127</v>
      </c>
      <c r="D54" s="1" t="s">
        <v>28</v>
      </c>
      <c r="E54" s="1" t="s">
        <v>29</v>
      </c>
      <c r="F54" s="1" t="s">
        <v>128</v>
      </c>
      <c r="G54" s="1" t="s">
        <v>129</v>
      </c>
      <c r="J54" s="92">
        <f>J50*0.5</f>
        <v>-400000</v>
      </c>
      <c r="K54" s="92">
        <f>J50*0.5+K50*0.5</f>
        <v>-400000</v>
      </c>
      <c r="L54" s="92"/>
      <c r="M54" s="92"/>
      <c r="N54" s="92"/>
      <c r="O54" s="92"/>
      <c r="P54" s="92"/>
      <c r="Q54" s="92"/>
      <c r="R54" s="92"/>
      <c r="S54" s="92"/>
      <c r="T54" s="92"/>
      <c r="U54" s="92"/>
      <c r="V54" s="92"/>
      <c r="W54" s="92"/>
      <c r="X54" s="241"/>
    </row>
    <row r="55" spans="1:24" x14ac:dyDescent="0.25">
      <c r="B55" s="1" t="s">
        <v>19</v>
      </c>
      <c r="C55" s="1">
        <v>-1200000</v>
      </c>
      <c r="D55" s="1">
        <v>-150000</v>
      </c>
      <c r="E55" s="1">
        <v>-150000</v>
      </c>
      <c r="F55" s="1">
        <v>-150000</v>
      </c>
      <c r="G55" s="1">
        <v>-150000</v>
      </c>
      <c r="J55" s="92"/>
      <c r="K55" s="92">
        <f>J51*0.5+K51*0.5</f>
        <v>5250</v>
      </c>
      <c r="L55" s="92">
        <f t="shared" ref="L55:W55" si="18">K51*0.5+L51*0.5</f>
        <v>10500</v>
      </c>
      <c r="M55" s="92">
        <f t="shared" si="18"/>
        <v>10500</v>
      </c>
      <c r="N55" s="92">
        <f t="shared" si="18"/>
        <v>10500</v>
      </c>
      <c r="O55" s="92">
        <f t="shared" si="18"/>
        <v>10500</v>
      </c>
      <c r="P55" s="92">
        <f t="shared" si="18"/>
        <v>10500</v>
      </c>
      <c r="Q55" s="92">
        <f t="shared" si="18"/>
        <v>10500</v>
      </c>
      <c r="R55" s="92">
        <f t="shared" si="18"/>
        <v>10500</v>
      </c>
      <c r="S55" s="92">
        <f t="shared" si="18"/>
        <v>10500</v>
      </c>
      <c r="T55" s="92">
        <f t="shared" si="18"/>
        <v>10500</v>
      </c>
      <c r="U55" s="92">
        <f t="shared" si="18"/>
        <v>10500</v>
      </c>
      <c r="V55" s="92">
        <f t="shared" si="18"/>
        <v>410500</v>
      </c>
      <c r="W55" s="92">
        <f t="shared" si="18"/>
        <v>405250</v>
      </c>
      <c r="X55" s="241"/>
    </row>
    <row r="56" spans="1:24" x14ac:dyDescent="0.25">
      <c r="B56" s="1" t="s">
        <v>20</v>
      </c>
      <c r="C56" s="1"/>
      <c r="D56" s="1"/>
      <c r="E56" s="1"/>
      <c r="F56" s="1"/>
      <c r="G56" s="1">
        <v>1950000</v>
      </c>
      <c r="J56" s="92">
        <f>SUM(J54:J55)</f>
        <v>-400000</v>
      </c>
      <c r="K56" s="92">
        <f t="shared" ref="K56" si="19">SUM(K54:K55)</f>
        <v>-394750</v>
      </c>
      <c r="L56" s="92">
        <f t="shared" ref="L56" si="20">SUM(L54:L55)</f>
        <v>10500</v>
      </c>
      <c r="M56" s="92">
        <f t="shared" ref="M56" si="21">SUM(M54:M55)</f>
        <v>10500</v>
      </c>
      <c r="N56" s="92">
        <f t="shared" ref="N56" si="22">SUM(N54:N55)</f>
        <v>10500</v>
      </c>
      <c r="O56" s="92">
        <f t="shared" ref="O56" si="23">SUM(O54:O55)</f>
        <v>10500</v>
      </c>
      <c r="P56" s="92">
        <f t="shared" ref="P56" si="24">SUM(P54:P55)</f>
        <v>10500</v>
      </c>
      <c r="Q56" s="92">
        <f t="shared" ref="Q56" si="25">SUM(Q54:Q55)</f>
        <v>10500</v>
      </c>
      <c r="R56" s="92">
        <f t="shared" ref="R56" si="26">SUM(R54:R55)</f>
        <v>10500</v>
      </c>
      <c r="S56" s="92">
        <f t="shared" ref="S56" si="27">SUM(S54:S55)</f>
        <v>10500</v>
      </c>
      <c r="T56" s="92">
        <f t="shared" ref="T56" si="28">SUM(T54:T55)</f>
        <v>10500</v>
      </c>
      <c r="U56" s="92">
        <f t="shared" ref="U56" si="29">SUM(U54:U55)</f>
        <v>10500</v>
      </c>
      <c r="V56" s="92">
        <f t="shared" ref="V56" si="30">SUM(V54:V55)</f>
        <v>410500</v>
      </c>
      <c r="W56" s="92">
        <f t="shared" ref="W56" si="31">SUM(W54:W55)</f>
        <v>405250</v>
      </c>
      <c r="X56" s="241">
        <f>SUM(J56:W56)</f>
        <v>126000</v>
      </c>
    </row>
    <row r="57" spans="1:24" x14ac:dyDescent="0.25">
      <c r="J57" s="242" t="s">
        <v>319</v>
      </c>
      <c r="K57" s="256">
        <f>IRR(J56:W56)</f>
        <v>1.3125000000000719E-2</v>
      </c>
      <c r="L57" s="241"/>
      <c r="M57" s="241"/>
      <c r="N57" s="241"/>
      <c r="O57" s="241"/>
      <c r="P57" s="241"/>
      <c r="Q57" s="241"/>
      <c r="R57" s="241"/>
      <c r="S57" s="241"/>
      <c r="T57" s="241"/>
      <c r="U57" s="241"/>
      <c r="V57" s="241"/>
      <c r="W57" s="241"/>
      <c r="X57" s="241"/>
    </row>
    <row r="58" spans="1:24" x14ac:dyDescent="0.25">
      <c r="J58" s="238" t="s">
        <v>320</v>
      </c>
      <c r="K58" s="206">
        <f>((1+K57)^(12/1))-1</f>
        <v>0.16938195084112562</v>
      </c>
    </row>
    <row r="59" spans="1:24" x14ac:dyDescent="0.25">
      <c r="B59" s="1" t="s">
        <v>130</v>
      </c>
      <c r="C59" s="1">
        <v>0</v>
      </c>
      <c r="D59" s="1">
        <v>1</v>
      </c>
      <c r="E59" s="1">
        <v>2</v>
      </c>
      <c r="F59" s="1">
        <v>3</v>
      </c>
      <c r="G59" s="1">
        <v>4</v>
      </c>
    </row>
    <row r="60" spans="1:24" x14ac:dyDescent="0.25">
      <c r="B60" s="1" t="s">
        <v>19</v>
      </c>
      <c r="C60" s="1">
        <f>C55+(D55*0.5)</f>
        <v>-1275000</v>
      </c>
      <c r="D60" s="1">
        <f>(D55/2)+(E55/2)</f>
        <v>-150000</v>
      </c>
      <c r="E60" s="1">
        <f t="shared" ref="E60:G60" si="32">(E55/2)+(F55/2)</f>
        <v>-150000</v>
      </c>
      <c r="F60" s="1">
        <f t="shared" si="32"/>
        <v>-150000</v>
      </c>
      <c r="G60" s="1">
        <f t="shared" si="32"/>
        <v>-75000</v>
      </c>
    </row>
    <row r="61" spans="1:24" x14ac:dyDescent="0.25">
      <c r="B61" s="1" t="s">
        <v>20</v>
      </c>
      <c r="C61" s="1"/>
      <c r="D61" s="1"/>
      <c r="E61" s="1"/>
      <c r="F61" s="1"/>
      <c r="G61" s="1">
        <f>G56+(H56*0.5)</f>
        <v>1950000</v>
      </c>
    </row>
    <row r="62" spans="1:24" x14ac:dyDescent="0.25">
      <c r="B62" s="91" t="s">
        <v>131</v>
      </c>
      <c r="C62" s="1">
        <f>SUM(C60:C61)</f>
        <v>-1275000</v>
      </c>
      <c r="D62" s="1">
        <f t="shared" ref="D62:G62" si="33">SUM(D60:D61)</f>
        <v>-150000</v>
      </c>
      <c r="E62" s="1">
        <f t="shared" si="33"/>
        <v>-150000</v>
      </c>
      <c r="F62" s="1">
        <f t="shared" si="33"/>
        <v>-150000</v>
      </c>
      <c r="G62" s="1">
        <f t="shared" si="33"/>
        <v>1875000</v>
      </c>
    </row>
    <row r="63" spans="1:24" x14ac:dyDescent="0.25">
      <c r="B63" s="90"/>
      <c r="C63" s="13"/>
      <c r="D63" s="13"/>
      <c r="E63" s="13"/>
      <c r="F63" s="13"/>
      <c r="G63" s="13"/>
    </row>
    <row r="64" spans="1:24" x14ac:dyDescent="0.25">
      <c r="B64" s="99" t="s">
        <v>132</v>
      </c>
      <c r="C64" s="100">
        <f>((1+I46)^(1/12))-1</f>
        <v>1.7114700870998201E-2</v>
      </c>
      <c r="D64" s="13"/>
      <c r="E64" s="13"/>
      <c r="F64" s="13"/>
      <c r="G64" s="13"/>
    </row>
    <row r="66" spans="2:8" x14ac:dyDescent="0.25">
      <c r="B66" s="1" t="s">
        <v>130</v>
      </c>
      <c r="C66" s="1">
        <v>0</v>
      </c>
      <c r="D66" s="1">
        <v>1</v>
      </c>
      <c r="E66" s="1">
        <v>2</v>
      </c>
      <c r="F66" s="1">
        <v>3</v>
      </c>
      <c r="G66" s="1">
        <v>4</v>
      </c>
    </row>
    <row r="67" spans="2:8" x14ac:dyDescent="0.25">
      <c r="B67" s="1" t="s">
        <v>59</v>
      </c>
      <c r="C67" s="92">
        <f>C60/(1+$C$64)^C66</f>
        <v>-1275000</v>
      </c>
      <c r="D67" s="92">
        <f t="shared" ref="D67:G67" si="34">D60/(1+$C$64)^D66</f>
        <v>-147475.99250266334</v>
      </c>
      <c r="E67" s="92">
        <f t="shared" si="34"/>
        <v>-144994.45576430409</v>
      </c>
      <c r="F67" s="92">
        <f>F60/(1+$C$64)^F66</f>
        <v>-142554.67514149507</v>
      </c>
      <c r="G67" s="92">
        <f t="shared" si="34"/>
        <v>-70077.974007955796</v>
      </c>
      <c r="H67" s="93">
        <f>ABS(SUM(C67:G67))</f>
        <v>1780103.0974164181</v>
      </c>
    </row>
    <row r="68" spans="2:8" x14ac:dyDescent="0.25">
      <c r="B68" s="1" t="s">
        <v>60</v>
      </c>
      <c r="C68" s="92">
        <f>C61/(1+$C$64)^C66</f>
        <v>0</v>
      </c>
      <c r="D68" s="92">
        <f t="shared" ref="D68:G68" si="35">D61/(1+$C$64)^D66</f>
        <v>0</v>
      </c>
      <c r="E68" s="92">
        <f t="shared" si="35"/>
        <v>0</v>
      </c>
      <c r="F68" s="92">
        <f t="shared" si="35"/>
        <v>0</v>
      </c>
      <c r="G68" s="92">
        <f t="shared" si="35"/>
        <v>1822027.3242068505</v>
      </c>
      <c r="H68" s="93">
        <f>SUM(C68:G68)</f>
        <v>1822027.3242068505</v>
      </c>
    </row>
    <row r="69" spans="2:8" x14ac:dyDescent="0.25">
      <c r="B69" s="91" t="s">
        <v>56</v>
      </c>
      <c r="C69" s="92">
        <f>SUM(C67:C68)</f>
        <v>-1275000</v>
      </c>
      <c r="D69" s="92">
        <f t="shared" ref="D69" si="36">SUM(D67:D68)</f>
        <v>-147475.99250266334</v>
      </c>
      <c r="E69" s="92">
        <f t="shared" ref="E69" si="37">SUM(E67:E68)</f>
        <v>-144994.45576430409</v>
      </c>
      <c r="F69" s="92">
        <f t="shared" ref="F69" si="38">SUM(F67:F68)</f>
        <v>-142554.67514149507</v>
      </c>
      <c r="G69" s="92">
        <f t="shared" ref="G69" si="39">SUM(G67:G68)</f>
        <v>1751949.3501988947</v>
      </c>
    </row>
    <row r="71" spans="2:8" x14ac:dyDescent="0.25">
      <c r="B71" s="78" t="s">
        <v>57</v>
      </c>
      <c r="C71" s="95">
        <f>SUM(C69:G69)</f>
        <v>41924.226790432353</v>
      </c>
      <c r="G71" s="61" t="s">
        <v>80</v>
      </c>
      <c r="H71" s="94">
        <f>SUM(C67:G67)</f>
        <v>-1780103.0974164181</v>
      </c>
    </row>
    <row r="72" spans="2:8" x14ac:dyDescent="0.25">
      <c r="B72" s="78" t="s">
        <v>79</v>
      </c>
      <c r="C72" s="96">
        <f>ABS(H72)/ABS(H71)</f>
        <v>1.023551572294481</v>
      </c>
      <c r="G72" s="61" t="s">
        <v>81</v>
      </c>
      <c r="H72" s="94">
        <f>SUM(C68:G68)</f>
        <v>1822027.3242068505</v>
      </c>
    </row>
    <row r="73" spans="2:8" x14ac:dyDescent="0.25">
      <c r="B73" s="78" t="s">
        <v>134</v>
      </c>
      <c r="C73" s="97">
        <f>IRR(C62:G62)</f>
        <v>2.4183401164377782E-2</v>
      </c>
    </row>
    <row r="74" spans="2:8" x14ac:dyDescent="0.25">
      <c r="B74" s="78" t="s">
        <v>133</v>
      </c>
      <c r="C74" s="98">
        <f>((1+C73)^(12/1))-1</f>
        <v>0.33208763148744858</v>
      </c>
    </row>
    <row r="75" spans="2:8" ht="15.75" thickBot="1" x14ac:dyDescent="0.3"/>
    <row r="76" spans="2:8" x14ac:dyDescent="0.25">
      <c r="B76" s="107" t="s">
        <v>135</v>
      </c>
      <c r="C76" s="101" t="s">
        <v>115</v>
      </c>
      <c r="D76" s="319" t="s">
        <v>122</v>
      </c>
      <c r="E76" s="320"/>
      <c r="F76" s="102">
        <v>1.6878285489193123E-2</v>
      </c>
    </row>
    <row r="77" spans="2:8" ht="15.75" thickBot="1" x14ac:dyDescent="0.3">
      <c r="B77" s="88"/>
      <c r="D77" s="321" t="s">
        <v>123</v>
      </c>
      <c r="E77" s="322"/>
      <c r="F77" s="103">
        <v>0.22585521007424481</v>
      </c>
    </row>
    <row r="78" spans="2:8" x14ac:dyDescent="0.25">
      <c r="C78" s="101" t="s">
        <v>116</v>
      </c>
      <c r="D78" s="319" t="s">
        <v>125</v>
      </c>
      <c r="E78" s="320"/>
      <c r="F78" s="104">
        <v>1.3125000000000053E-2</v>
      </c>
    </row>
    <row r="79" spans="2:8" ht="15.75" thickBot="1" x14ac:dyDescent="0.3">
      <c r="D79" s="321" t="s">
        <v>126</v>
      </c>
      <c r="E79" s="322"/>
      <c r="F79" s="103">
        <v>0.16938195084111674</v>
      </c>
    </row>
    <row r="80" spans="2:8" x14ac:dyDescent="0.25">
      <c r="C80" s="101" t="s">
        <v>117</v>
      </c>
      <c r="D80" s="319" t="s">
        <v>134</v>
      </c>
      <c r="E80" s="320"/>
      <c r="F80" s="102">
        <v>2.4183401164377782E-2</v>
      </c>
    </row>
    <row r="81" spans="1:13" ht="15.75" thickBot="1" x14ac:dyDescent="0.3">
      <c r="D81" s="323" t="s">
        <v>133</v>
      </c>
      <c r="E81" s="324"/>
      <c r="F81" s="105">
        <v>0.33208763148744858</v>
      </c>
    </row>
    <row r="82" spans="1:13" ht="15.75" thickBot="1" x14ac:dyDescent="0.3">
      <c r="C82" s="327" t="s">
        <v>137</v>
      </c>
      <c r="D82" s="328"/>
      <c r="E82" s="328"/>
      <c r="F82" s="328"/>
      <c r="G82" s="328"/>
      <c r="H82" s="328"/>
      <c r="I82" s="329"/>
    </row>
    <row r="83" spans="1:13" x14ac:dyDescent="0.25">
      <c r="C83" s="106"/>
      <c r="D83" s="106"/>
      <c r="E83" s="106"/>
      <c r="F83" s="106"/>
      <c r="G83" s="106"/>
      <c r="H83" s="106"/>
      <c r="I83" s="106"/>
    </row>
    <row r="84" spans="1:13" x14ac:dyDescent="0.25">
      <c r="A84" s="46" t="s">
        <v>136</v>
      </c>
    </row>
    <row r="85" spans="1:13" ht="15" customHeight="1" x14ac:dyDescent="0.25">
      <c r="B85" s="269" t="s">
        <v>149</v>
      </c>
      <c r="C85" s="269"/>
      <c r="D85" s="269"/>
      <c r="E85" s="269"/>
      <c r="F85" s="269"/>
      <c r="G85" s="269"/>
      <c r="H85" s="269"/>
      <c r="I85" s="269"/>
      <c r="J85" s="269"/>
      <c r="K85" s="269"/>
      <c r="L85" s="269"/>
      <c r="M85" s="269"/>
    </row>
    <row r="86" spans="1:13" x14ac:dyDescent="0.25">
      <c r="B86" s="47"/>
      <c r="C86" s="47"/>
      <c r="D86" s="47"/>
      <c r="E86" s="47"/>
      <c r="F86" s="47"/>
      <c r="G86" s="47"/>
      <c r="H86" s="47"/>
      <c r="I86" s="47"/>
      <c r="J86" s="47"/>
      <c r="K86" s="47"/>
      <c r="L86" s="47"/>
      <c r="M86" s="47"/>
    </row>
    <row r="87" spans="1:13" x14ac:dyDescent="0.25">
      <c r="B87" s="267" t="s">
        <v>161</v>
      </c>
      <c r="C87" s="267"/>
      <c r="D87" s="267"/>
      <c r="E87" s="267"/>
      <c r="F87" s="267"/>
      <c r="G87" s="267"/>
      <c r="H87" s="267"/>
      <c r="I87" s="267"/>
      <c r="J87" s="267"/>
      <c r="K87" s="267"/>
      <c r="L87" s="267"/>
      <c r="M87" s="267"/>
    </row>
    <row r="88" spans="1:13" x14ac:dyDescent="0.25">
      <c r="B88" s="48"/>
      <c r="C88" s="48"/>
      <c r="D88" s="48"/>
      <c r="E88" s="48"/>
      <c r="F88" s="48"/>
      <c r="G88" s="48"/>
      <c r="H88" s="48"/>
      <c r="I88" s="48"/>
      <c r="J88" s="48"/>
      <c r="K88" s="48"/>
      <c r="L88" s="48"/>
      <c r="M88" s="48"/>
    </row>
    <row r="89" spans="1:13" x14ac:dyDescent="0.25">
      <c r="B89" s="269" t="s">
        <v>162</v>
      </c>
      <c r="C89" s="269"/>
      <c r="D89" s="269"/>
      <c r="E89" s="269"/>
      <c r="F89" s="269"/>
      <c r="G89" s="269"/>
      <c r="H89" s="269"/>
      <c r="I89" s="269"/>
      <c r="J89" s="269"/>
      <c r="K89" s="269"/>
      <c r="L89" s="269"/>
      <c r="M89" s="269"/>
    </row>
    <row r="90" spans="1:13" x14ac:dyDescent="0.25">
      <c r="B90" s="269"/>
      <c r="C90" s="269"/>
      <c r="D90" s="269"/>
      <c r="E90" s="269"/>
      <c r="F90" s="269"/>
      <c r="G90" s="269"/>
      <c r="H90" s="269"/>
      <c r="I90" s="269"/>
      <c r="J90" s="269"/>
      <c r="K90" s="269"/>
      <c r="L90" s="269"/>
      <c r="M90" s="269"/>
    </row>
    <row r="91" spans="1:13" x14ac:dyDescent="0.25">
      <c r="B91" s="48"/>
      <c r="C91" s="48"/>
      <c r="D91" s="48"/>
      <c r="E91" s="48"/>
      <c r="F91" s="48"/>
      <c r="G91" s="48"/>
      <c r="H91" s="48"/>
      <c r="I91" s="48"/>
      <c r="J91" s="48"/>
      <c r="K91" s="48"/>
      <c r="L91" s="48"/>
      <c r="M91" s="48"/>
    </row>
    <row r="92" spans="1:13" ht="15" customHeight="1" x14ac:dyDescent="0.25">
      <c r="B92" s="326" t="s">
        <v>163</v>
      </c>
      <c r="C92" s="326"/>
      <c r="D92" s="326"/>
      <c r="E92" s="326"/>
      <c r="F92" s="326"/>
      <c r="G92" s="326"/>
      <c r="H92" s="326"/>
      <c r="I92" s="326"/>
      <c r="J92" s="326"/>
      <c r="K92" s="326"/>
      <c r="L92" s="326"/>
      <c r="M92" s="326"/>
    </row>
    <row r="93" spans="1:13" x14ac:dyDescent="0.25">
      <c r="B93" s="326"/>
      <c r="C93" s="326"/>
      <c r="D93" s="326"/>
      <c r="E93" s="326"/>
      <c r="F93" s="326"/>
      <c r="G93" s="326"/>
      <c r="H93" s="326"/>
      <c r="I93" s="326"/>
      <c r="J93" s="326"/>
      <c r="K93" s="326"/>
      <c r="L93" s="326"/>
      <c r="M93" s="326"/>
    </row>
    <row r="94" spans="1:13" x14ac:dyDescent="0.25">
      <c r="B94" s="269" t="s">
        <v>150</v>
      </c>
      <c r="C94" s="269"/>
      <c r="D94" s="269"/>
      <c r="E94" s="269"/>
      <c r="F94" s="269"/>
      <c r="G94" s="269"/>
      <c r="H94" s="269"/>
      <c r="I94" s="269"/>
      <c r="J94" s="269"/>
      <c r="K94" s="269"/>
      <c r="L94" s="269"/>
      <c r="M94" s="269"/>
    </row>
    <row r="95" spans="1:13" x14ac:dyDescent="0.25">
      <c r="B95" s="269"/>
      <c r="C95" s="269"/>
      <c r="D95" s="269"/>
      <c r="E95" s="269"/>
      <c r="F95" s="269"/>
      <c r="G95" s="269"/>
      <c r="H95" s="269"/>
      <c r="I95" s="269"/>
      <c r="J95" s="269"/>
      <c r="K95" s="269"/>
      <c r="L95" s="269"/>
      <c r="M95" s="269"/>
    </row>
    <row r="96" spans="1:13" x14ac:dyDescent="0.25">
      <c r="B96" s="48"/>
      <c r="C96" s="48"/>
      <c r="D96" s="48"/>
      <c r="E96" s="48"/>
      <c r="F96" s="48"/>
      <c r="G96" s="48"/>
      <c r="H96" s="48"/>
      <c r="I96" s="48"/>
      <c r="J96" s="48"/>
      <c r="K96" s="48"/>
      <c r="L96" s="48"/>
      <c r="M96" s="48"/>
    </row>
    <row r="97" spans="1:22" x14ac:dyDescent="0.25">
      <c r="B97" s="267" t="s">
        <v>151</v>
      </c>
      <c r="C97" s="267"/>
      <c r="D97" s="267"/>
      <c r="E97" s="267"/>
      <c r="F97" s="267"/>
      <c r="G97" s="267"/>
      <c r="H97" s="267"/>
      <c r="I97" s="267"/>
      <c r="J97" s="267"/>
      <c r="K97" s="267"/>
      <c r="L97" s="267"/>
      <c r="M97" s="267"/>
    </row>
    <row r="98" spans="1:22" x14ac:dyDescent="0.25">
      <c r="B98" s="269" t="s">
        <v>152</v>
      </c>
      <c r="C98" s="269"/>
      <c r="D98" s="269"/>
      <c r="E98" s="269"/>
      <c r="F98" s="269"/>
      <c r="G98" s="269"/>
      <c r="H98" s="269"/>
      <c r="I98" s="269"/>
      <c r="J98" s="269"/>
      <c r="K98" s="269"/>
      <c r="L98" s="269"/>
      <c r="M98" s="269"/>
    </row>
    <row r="99" spans="1:22" x14ac:dyDescent="0.25">
      <c r="B99" s="269"/>
      <c r="C99" s="269"/>
      <c r="D99" s="269"/>
      <c r="E99" s="269"/>
      <c r="F99" s="269"/>
      <c r="G99" s="269"/>
      <c r="H99" s="269"/>
      <c r="I99" s="269"/>
      <c r="J99" s="269"/>
      <c r="K99" s="269"/>
      <c r="L99" s="269"/>
      <c r="M99" s="269"/>
    </row>
    <row r="100" spans="1:22" x14ac:dyDescent="0.25">
      <c r="B100" s="267" t="s">
        <v>153</v>
      </c>
      <c r="C100" s="267"/>
      <c r="D100" s="267"/>
      <c r="E100" s="267"/>
      <c r="F100" s="267"/>
      <c r="G100" s="267"/>
      <c r="H100" s="267"/>
      <c r="I100" s="267"/>
      <c r="J100" s="267"/>
      <c r="K100" s="267"/>
      <c r="L100" s="267"/>
      <c r="M100" s="267"/>
    </row>
    <row r="101" spans="1:22" x14ac:dyDescent="0.25">
      <c r="B101" s="267" t="s">
        <v>154</v>
      </c>
      <c r="C101" s="267"/>
      <c r="D101" s="267"/>
      <c r="E101" s="267"/>
      <c r="F101" s="267"/>
      <c r="G101" s="267"/>
      <c r="H101" s="267"/>
      <c r="I101" s="267"/>
      <c r="J101" s="267"/>
      <c r="K101" s="267"/>
      <c r="L101" s="267"/>
      <c r="M101" s="267"/>
    </row>
    <row r="102" spans="1:22" x14ac:dyDescent="0.25">
      <c r="B102" s="267" t="s">
        <v>155</v>
      </c>
      <c r="C102" s="267"/>
      <c r="D102" s="267"/>
      <c r="E102" s="267"/>
      <c r="F102" s="267"/>
      <c r="G102" s="267"/>
      <c r="H102" s="267"/>
      <c r="I102" s="267"/>
      <c r="J102" s="267"/>
      <c r="K102" s="267"/>
      <c r="L102" s="267"/>
      <c r="M102" s="267"/>
    </row>
    <row r="103" spans="1:22" x14ac:dyDescent="0.25">
      <c r="B103" s="113" t="s">
        <v>156</v>
      </c>
      <c r="C103" s="48"/>
      <c r="D103" s="48"/>
      <c r="E103" s="48"/>
      <c r="F103" s="48"/>
      <c r="G103" s="48"/>
      <c r="H103" s="48"/>
      <c r="I103" s="48"/>
      <c r="J103" s="48"/>
      <c r="K103" s="48"/>
      <c r="L103" s="48"/>
      <c r="M103" s="48"/>
    </row>
    <row r="104" spans="1:22" ht="15" customHeight="1" x14ac:dyDescent="0.25">
      <c r="B104" s="330" t="s">
        <v>157</v>
      </c>
      <c r="C104" s="330"/>
      <c r="D104" s="330"/>
      <c r="E104" s="330"/>
      <c r="F104" s="330"/>
      <c r="G104" s="330"/>
      <c r="H104" s="330"/>
      <c r="I104" s="330"/>
      <c r="J104" s="330"/>
      <c r="K104" s="330"/>
      <c r="L104" s="330"/>
      <c r="M104" s="330"/>
    </row>
    <row r="105" spans="1:22" ht="15" customHeight="1" x14ac:dyDescent="0.25">
      <c r="B105" s="331" t="s">
        <v>158</v>
      </c>
      <c r="C105" s="331"/>
      <c r="D105" s="331"/>
      <c r="E105" s="331"/>
      <c r="F105" s="331"/>
      <c r="G105" s="331"/>
      <c r="H105" s="331"/>
      <c r="I105" s="331"/>
      <c r="J105" s="331"/>
      <c r="K105" s="331"/>
      <c r="L105" s="331"/>
      <c r="M105" s="331"/>
    </row>
    <row r="106" spans="1:22" ht="15" customHeight="1" x14ac:dyDescent="0.25">
      <c r="B106" s="330" t="s">
        <v>159</v>
      </c>
      <c r="C106" s="330"/>
      <c r="D106" s="330"/>
      <c r="E106" s="330"/>
      <c r="F106" s="330"/>
      <c r="G106" s="330"/>
      <c r="H106" s="330"/>
      <c r="I106" s="330"/>
      <c r="J106" s="330"/>
      <c r="K106" s="330"/>
      <c r="L106" s="330"/>
      <c r="M106" s="330"/>
    </row>
    <row r="107" spans="1:22" x14ac:dyDescent="0.25">
      <c r="B107" s="269" t="s">
        <v>160</v>
      </c>
      <c r="C107" s="269"/>
      <c r="D107" s="269"/>
      <c r="E107" s="269"/>
      <c r="F107" s="269"/>
      <c r="G107" s="269"/>
      <c r="H107" s="269"/>
      <c r="I107" s="269"/>
      <c r="J107" s="269"/>
      <c r="K107" s="269"/>
      <c r="L107" s="269"/>
      <c r="M107" s="269"/>
    </row>
    <row r="108" spans="1:22" x14ac:dyDescent="0.25">
      <c r="B108" s="269"/>
      <c r="C108" s="269"/>
      <c r="D108" s="269"/>
      <c r="E108" s="269"/>
      <c r="F108" s="269"/>
      <c r="G108" s="269"/>
      <c r="H108" s="269"/>
      <c r="I108" s="269"/>
      <c r="J108" s="269"/>
      <c r="K108" s="269"/>
      <c r="L108" s="269"/>
      <c r="M108" s="269"/>
    </row>
    <row r="109" spans="1:22" x14ac:dyDescent="0.25">
      <c r="H109" s="1">
        <v>1</v>
      </c>
      <c r="I109" s="1">
        <f>H109+1</f>
        <v>2</v>
      </c>
      <c r="J109" s="1">
        <f t="shared" ref="J109:T109" si="40">I109+1</f>
        <v>3</v>
      </c>
      <c r="K109" s="1">
        <f t="shared" si="40"/>
        <v>4</v>
      </c>
      <c r="L109" s="1">
        <f t="shared" si="40"/>
        <v>5</v>
      </c>
      <c r="M109" s="1">
        <f t="shared" si="40"/>
        <v>6</v>
      </c>
      <c r="N109" s="1">
        <f t="shared" si="40"/>
        <v>7</v>
      </c>
      <c r="O109" s="1">
        <f>N109+1</f>
        <v>8</v>
      </c>
      <c r="P109" s="1">
        <f t="shared" si="40"/>
        <v>9</v>
      </c>
      <c r="Q109" s="1">
        <f>P109+1</f>
        <v>10</v>
      </c>
      <c r="R109" s="1">
        <f t="shared" si="40"/>
        <v>11</v>
      </c>
      <c r="S109" s="1">
        <f>R109+1</f>
        <v>12</v>
      </c>
      <c r="T109" s="1">
        <f t="shared" si="40"/>
        <v>13</v>
      </c>
    </row>
    <row r="110" spans="1:22" x14ac:dyDescent="0.25">
      <c r="A110" s="101" t="s">
        <v>196</v>
      </c>
      <c r="B110" s="138" t="s">
        <v>197</v>
      </c>
      <c r="C110" s="1">
        <v>3</v>
      </c>
      <c r="E110" s="1" t="s">
        <v>120</v>
      </c>
      <c r="F110" s="1">
        <f>C111*C110</f>
        <v>24000</v>
      </c>
      <c r="G110" s="262" t="s">
        <v>321</v>
      </c>
      <c r="H110" s="1">
        <f>-C113</f>
        <v>-5000000</v>
      </c>
      <c r="I110" s="1"/>
      <c r="J110" s="1"/>
      <c r="K110" s="1"/>
      <c r="L110" s="1"/>
      <c r="M110" s="1"/>
      <c r="N110" s="1"/>
      <c r="O110" s="1"/>
      <c r="P110" s="1"/>
      <c r="Q110" s="1"/>
      <c r="R110" s="1"/>
      <c r="S110" s="1"/>
      <c r="T110" s="1"/>
    </row>
    <row r="111" spans="1:22" x14ac:dyDescent="0.25">
      <c r="B111" s="332" t="s">
        <v>198</v>
      </c>
      <c r="C111" s="15">
        <v>8000</v>
      </c>
      <c r="E111" s="1" t="s">
        <v>200</v>
      </c>
      <c r="F111" s="137">
        <f>F110/C113</f>
        <v>4.7999999999999996E-3</v>
      </c>
      <c r="G111" s="262" t="s">
        <v>322</v>
      </c>
      <c r="H111" s="1"/>
      <c r="I111" s="1">
        <f>$F$110</f>
        <v>24000</v>
      </c>
      <c r="J111" s="1">
        <f t="shared" ref="J111:S111" si="41">$F$110</f>
        <v>24000</v>
      </c>
      <c r="K111" s="1">
        <f t="shared" si="41"/>
        <v>24000</v>
      </c>
      <c r="L111" s="1">
        <f t="shared" si="41"/>
        <v>24000</v>
      </c>
      <c r="M111" s="1">
        <f t="shared" si="41"/>
        <v>24000</v>
      </c>
      <c r="N111" s="1">
        <f t="shared" si="41"/>
        <v>24000</v>
      </c>
      <c r="O111" s="1">
        <f t="shared" si="41"/>
        <v>24000</v>
      </c>
      <c r="P111" s="1">
        <f t="shared" si="41"/>
        <v>24000</v>
      </c>
      <c r="Q111" s="1">
        <f t="shared" si="41"/>
        <v>24000</v>
      </c>
      <c r="R111" s="1">
        <f t="shared" si="41"/>
        <v>24000</v>
      </c>
      <c r="S111" s="1">
        <f t="shared" si="41"/>
        <v>24000</v>
      </c>
      <c r="T111" s="1">
        <f>$F$110+-H110</f>
        <v>5024000</v>
      </c>
      <c r="V111">
        <f>SUM(H110:T111)</f>
        <v>288000</v>
      </c>
    </row>
    <row r="112" spans="1:22" x14ac:dyDescent="0.25">
      <c r="B112" s="332"/>
      <c r="E112" s="333" t="s">
        <v>126</v>
      </c>
      <c r="F112" s="334">
        <f>((1+F111)^(12/1))-1</f>
        <v>5.9145235035986454E-2</v>
      </c>
      <c r="G112" s="262" t="s">
        <v>50</v>
      </c>
      <c r="H112" s="1">
        <f>SUM(H110:H111)</f>
        <v>-5000000</v>
      </c>
      <c r="I112" s="1">
        <f t="shared" ref="I112:T112" si="42">SUM(I110:I111)</f>
        <v>24000</v>
      </c>
      <c r="J112" s="1">
        <f t="shared" si="42"/>
        <v>24000</v>
      </c>
      <c r="K112" s="1">
        <f t="shared" si="42"/>
        <v>24000</v>
      </c>
      <c r="L112" s="1">
        <f t="shared" si="42"/>
        <v>24000</v>
      </c>
      <c r="M112" s="1">
        <f t="shared" si="42"/>
        <v>24000</v>
      </c>
      <c r="N112" s="1">
        <f t="shared" si="42"/>
        <v>24000</v>
      </c>
      <c r="O112" s="1">
        <f t="shared" si="42"/>
        <v>24000</v>
      </c>
      <c r="P112" s="1">
        <f t="shared" si="42"/>
        <v>24000</v>
      </c>
      <c r="Q112" s="1">
        <f t="shared" si="42"/>
        <v>24000</v>
      </c>
      <c r="R112" s="1">
        <f t="shared" si="42"/>
        <v>24000</v>
      </c>
      <c r="S112" s="1">
        <f t="shared" si="42"/>
        <v>24000</v>
      </c>
      <c r="T112" s="1">
        <f t="shared" si="42"/>
        <v>5024000</v>
      </c>
    </row>
    <row r="113" spans="1:22" x14ac:dyDescent="0.25">
      <c r="B113" s="60" t="s">
        <v>199</v>
      </c>
      <c r="C113" s="1">
        <v>5000000</v>
      </c>
      <c r="E113" s="333"/>
      <c r="F113" s="334"/>
      <c r="G113" s="262"/>
      <c r="H113" s="1">
        <v>0</v>
      </c>
      <c r="I113" s="20">
        <f>H113+1</f>
        <v>1</v>
      </c>
      <c r="J113" s="20">
        <f t="shared" ref="J113:U113" si="43">I113+1</f>
        <v>2</v>
      </c>
      <c r="K113" s="20">
        <f t="shared" si="43"/>
        <v>3</v>
      </c>
      <c r="L113" s="20">
        <f t="shared" si="43"/>
        <v>4</v>
      </c>
      <c r="M113" s="20">
        <f t="shared" si="43"/>
        <v>5</v>
      </c>
      <c r="N113" s="20">
        <f t="shared" si="43"/>
        <v>6</v>
      </c>
      <c r="O113" s="20">
        <f t="shared" si="43"/>
        <v>7</v>
      </c>
      <c r="P113" s="20">
        <f t="shared" si="43"/>
        <v>8</v>
      </c>
      <c r="Q113" s="20">
        <f t="shared" si="43"/>
        <v>9</v>
      </c>
      <c r="R113" s="20">
        <f t="shared" si="43"/>
        <v>10</v>
      </c>
      <c r="S113" s="20">
        <f t="shared" si="43"/>
        <v>11</v>
      </c>
      <c r="T113" s="20">
        <f t="shared" si="43"/>
        <v>12</v>
      </c>
      <c r="U113" s="20">
        <f t="shared" si="43"/>
        <v>13</v>
      </c>
    </row>
    <row r="114" spans="1:22" x14ac:dyDescent="0.25">
      <c r="B114" s="253"/>
      <c r="C114" s="13"/>
      <c r="E114" s="254"/>
      <c r="F114" s="255"/>
      <c r="G114" s="262" t="s">
        <v>323</v>
      </c>
      <c r="H114" s="1">
        <f>H110*0.5</f>
        <v>-2500000</v>
      </c>
      <c r="I114" s="1">
        <f>H110*0.5+I110*0.5</f>
        <v>-2500000</v>
      </c>
      <c r="J114" s="1"/>
      <c r="K114" s="1"/>
      <c r="L114" s="1"/>
      <c r="M114" s="1"/>
      <c r="N114" s="1"/>
      <c r="O114" s="1"/>
      <c r="P114" s="1"/>
      <c r="Q114" s="1"/>
      <c r="R114" s="1"/>
      <c r="S114" s="1"/>
      <c r="T114" s="1"/>
      <c r="U114" s="1"/>
    </row>
    <row r="115" spans="1:22" x14ac:dyDescent="0.25">
      <c r="B115" s="253"/>
      <c r="C115" s="13"/>
      <c r="E115" s="254"/>
      <c r="F115" s="255"/>
      <c r="G115" s="262" t="s">
        <v>324</v>
      </c>
      <c r="H115" s="1"/>
      <c r="I115" s="1">
        <f>H111*0.5+I111*0.5</f>
        <v>12000</v>
      </c>
      <c r="J115" s="1">
        <f t="shared" ref="J115:U115" si="44">I111*0.5+J111*0.5</f>
        <v>24000</v>
      </c>
      <c r="K115" s="1">
        <f t="shared" si="44"/>
        <v>24000</v>
      </c>
      <c r="L115" s="1">
        <f t="shared" si="44"/>
        <v>24000</v>
      </c>
      <c r="M115" s="1">
        <f t="shared" si="44"/>
        <v>24000</v>
      </c>
      <c r="N115" s="1">
        <f t="shared" si="44"/>
        <v>24000</v>
      </c>
      <c r="O115" s="1">
        <f t="shared" si="44"/>
        <v>24000</v>
      </c>
      <c r="P115" s="1">
        <f t="shared" si="44"/>
        <v>24000</v>
      </c>
      <c r="Q115" s="1">
        <f t="shared" si="44"/>
        <v>24000</v>
      </c>
      <c r="R115" s="1">
        <f t="shared" si="44"/>
        <v>24000</v>
      </c>
      <c r="S115" s="1">
        <f t="shared" si="44"/>
        <v>24000</v>
      </c>
      <c r="T115" s="1">
        <f t="shared" si="44"/>
        <v>2524000</v>
      </c>
      <c r="U115" s="1">
        <f t="shared" si="44"/>
        <v>2512000</v>
      </c>
    </row>
    <row r="116" spans="1:22" x14ac:dyDescent="0.25">
      <c r="B116" s="253"/>
      <c r="C116" s="13"/>
      <c r="E116" s="254"/>
      <c r="F116" s="255"/>
      <c r="G116" s="262" t="s">
        <v>325</v>
      </c>
      <c r="H116" s="1">
        <f>SUM(H114:H115)</f>
        <v>-2500000</v>
      </c>
      <c r="I116" s="1">
        <f t="shared" ref="I116:U116" si="45">SUM(I114:I115)</f>
        <v>-2488000</v>
      </c>
      <c r="J116" s="1">
        <f t="shared" si="45"/>
        <v>24000</v>
      </c>
      <c r="K116" s="1">
        <f t="shared" si="45"/>
        <v>24000</v>
      </c>
      <c r="L116" s="1">
        <f t="shared" si="45"/>
        <v>24000</v>
      </c>
      <c r="M116" s="1">
        <f t="shared" si="45"/>
        <v>24000</v>
      </c>
      <c r="N116" s="1">
        <f t="shared" si="45"/>
        <v>24000</v>
      </c>
      <c r="O116" s="1">
        <f t="shared" si="45"/>
        <v>24000</v>
      </c>
      <c r="P116" s="1">
        <f t="shared" si="45"/>
        <v>24000</v>
      </c>
      <c r="Q116" s="1">
        <f t="shared" si="45"/>
        <v>24000</v>
      </c>
      <c r="R116" s="1">
        <f t="shared" si="45"/>
        <v>24000</v>
      </c>
      <c r="S116" s="1">
        <f t="shared" si="45"/>
        <v>24000</v>
      </c>
      <c r="T116" s="1">
        <f t="shared" si="45"/>
        <v>2524000</v>
      </c>
      <c r="U116" s="1">
        <f t="shared" si="45"/>
        <v>2512000</v>
      </c>
      <c r="V116">
        <f>SUM(H116:U116)</f>
        <v>288000</v>
      </c>
    </row>
    <row r="117" spans="1:22" x14ac:dyDescent="0.25">
      <c r="H117" s="235" t="s">
        <v>319</v>
      </c>
      <c r="I117" s="257">
        <f>IRR(H116:U116)</f>
        <v>4.7999999999999154E-3</v>
      </c>
    </row>
    <row r="118" spans="1:22" x14ac:dyDescent="0.25">
      <c r="H118" s="235" t="s">
        <v>320</v>
      </c>
      <c r="I118" s="257">
        <f>((1+I117)^(12/1))-1</f>
        <v>5.9145235035986454E-2</v>
      </c>
    </row>
    <row r="119" spans="1:22" x14ac:dyDescent="0.25">
      <c r="H119" s="260"/>
      <c r="I119" s="261"/>
    </row>
    <row r="120" spans="1:22" x14ac:dyDescent="0.25">
      <c r="A120" s="101" t="s">
        <v>201</v>
      </c>
      <c r="B120" s="141" t="s">
        <v>202</v>
      </c>
      <c r="H120" s="258" t="s">
        <v>100</v>
      </c>
      <c r="I120" s="259">
        <v>5000000</v>
      </c>
    </row>
    <row r="121" spans="1:22" x14ac:dyDescent="0.25">
      <c r="B121" s="60" t="s">
        <v>203</v>
      </c>
      <c r="C121" s="139">
        <v>0.18</v>
      </c>
      <c r="D121" s="1" t="s">
        <v>204</v>
      </c>
      <c r="E121" s="268" t="s">
        <v>207</v>
      </c>
      <c r="F121" s="268"/>
      <c r="H121" s="60" t="s">
        <v>211</v>
      </c>
      <c r="I121" s="92">
        <f>I120*(1+C121)^(6/12)</f>
        <v>5431390.2456001071</v>
      </c>
    </row>
    <row r="122" spans="1:22" x14ac:dyDescent="0.25">
      <c r="B122" s="60" t="s">
        <v>205</v>
      </c>
      <c r="C122" s="140">
        <v>1.4999999999999999E-2</v>
      </c>
      <c r="D122" s="1" t="s">
        <v>206</v>
      </c>
      <c r="E122" s="268" t="s">
        <v>208</v>
      </c>
      <c r="F122" s="268"/>
      <c r="H122" s="60" t="s">
        <v>212</v>
      </c>
      <c r="I122" s="92">
        <f>I121*(1+C122)^(6/1)</f>
        <v>5938917.0778951962</v>
      </c>
    </row>
    <row r="123" spans="1:22" x14ac:dyDescent="0.25">
      <c r="B123" s="60" t="s">
        <v>209</v>
      </c>
      <c r="C123" s="139">
        <v>0.19</v>
      </c>
      <c r="D123" s="1" t="s">
        <v>204</v>
      </c>
      <c r="E123" s="126" t="s">
        <v>210</v>
      </c>
      <c r="F123" s="126"/>
      <c r="H123" s="60" t="s">
        <v>213</v>
      </c>
      <c r="I123" s="92">
        <f>I122*(1+C123)^(12/12)</f>
        <v>7067311.3226952832</v>
      </c>
    </row>
    <row r="125" spans="1:22" x14ac:dyDescent="0.25">
      <c r="G125" s="325" t="s">
        <v>214</v>
      </c>
      <c r="H125" s="325"/>
      <c r="I125" s="142">
        <f>I123/I120</f>
        <v>1.4134622645390567</v>
      </c>
      <c r="J125" s="143">
        <f>I125-1</f>
        <v>0.41346226453905666</v>
      </c>
    </row>
    <row r="126" spans="1:22" x14ac:dyDescent="0.25">
      <c r="G126" s="312" t="s">
        <v>126</v>
      </c>
      <c r="H126" s="312"/>
      <c r="I126" s="130">
        <f>(1+J125)^(12/24)</f>
        <v>1.1888911912109774</v>
      </c>
      <c r="J126" s="153">
        <f>I126-1</f>
        <v>0.18889119121097742</v>
      </c>
    </row>
    <row r="128" spans="1:22" x14ac:dyDescent="0.25">
      <c r="A128" s="101" t="s">
        <v>215</v>
      </c>
    </row>
    <row r="129" spans="1:15" x14ac:dyDescent="0.25">
      <c r="B129" s="130"/>
      <c r="C129" s="129">
        <v>2018</v>
      </c>
      <c r="D129" s="129">
        <v>2019</v>
      </c>
      <c r="E129" s="129">
        <v>2020</v>
      </c>
      <c r="F129" s="129">
        <v>2021</v>
      </c>
      <c r="G129" s="129">
        <v>2022</v>
      </c>
      <c r="H129" s="129">
        <v>2023</v>
      </c>
    </row>
    <row r="130" spans="1:15" x14ac:dyDescent="0.25">
      <c r="B130" s="128" t="s">
        <v>217</v>
      </c>
      <c r="C130" s="15"/>
      <c r="D130" s="130">
        <v>2000000</v>
      </c>
      <c r="E130" s="130">
        <f>D130*(1+0.2)^1</f>
        <v>2400000</v>
      </c>
      <c r="F130" s="130">
        <f t="shared" ref="F130:H130" si="46">E130*(1+0.2)^1</f>
        <v>2880000</v>
      </c>
      <c r="G130" s="130">
        <f t="shared" si="46"/>
        <v>3456000</v>
      </c>
      <c r="H130" s="130">
        <f t="shared" si="46"/>
        <v>4147200</v>
      </c>
      <c r="I130" s="5"/>
    </row>
    <row r="131" spans="1:15" x14ac:dyDescent="0.25">
      <c r="B131" s="146" t="s">
        <v>216</v>
      </c>
      <c r="C131" s="7">
        <f>D130*(1/2)</f>
        <v>1000000</v>
      </c>
      <c r="D131" s="7">
        <f>(D130*(1/2))+(E130*(1/2))</f>
        <v>2200000</v>
      </c>
      <c r="E131" s="7">
        <f>(E130*(1/2))+(F130*(1/2))</f>
        <v>2640000</v>
      </c>
      <c r="F131" s="7">
        <f>(F130*(1/2))+(G130*(1/2))</f>
        <v>3168000</v>
      </c>
      <c r="G131" s="130">
        <f>(G130*(1/2))+(H130*(1/2))</f>
        <v>3801600</v>
      </c>
      <c r="H131" s="130">
        <f>(H130*(1/2))+(I130*(1/2))</f>
        <v>2073600</v>
      </c>
    </row>
    <row r="132" spans="1:15" x14ac:dyDescent="0.25">
      <c r="B132" s="148"/>
      <c r="C132" s="127"/>
      <c r="D132" s="127"/>
      <c r="E132" s="127"/>
      <c r="F132" s="127"/>
      <c r="G132" s="76"/>
      <c r="H132" s="76"/>
    </row>
    <row r="133" spans="1:15" ht="15" customHeight="1" x14ac:dyDescent="0.25">
      <c r="B133" s="147" t="s">
        <v>221</v>
      </c>
      <c r="C133" s="147">
        <v>3000000</v>
      </c>
      <c r="D133" s="147" t="s">
        <v>218</v>
      </c>
      <c r="E133" s="147">
        <v>0.1</v>
      </c>
      <c r="F133" s="147" t="s">
        <v>204</v>
      </c>
    </row>
    <row r="135" spans="1:15" x14ac:dyDescent="0.25">
      <c r="A135" s="340" t="s">
        <v>19</v>
      </c>
      <c r="B135" s="130" t="s">
        <v>220</v>
      </c>
      <c r="C135" s="130">
        <v>-8000000</v>
      </c>
      <c r="D135" s="130"/>
      <c r="E135" s="130"/>
      <c r="F135" s="130"/>
      <c r="G135" s="130"/>
      <c r="H135" s="130"/>
    </row>
    <row r="136" spans="1:15" x14ac:dyDescent="0.25">
      <c r="A136" s="341"/>
      <c r="B136" s="130" t="s">
        <v>222</v>
      </c>
      <c r="C136" s="130"/>
      <c r="D136" s="130">
        <f>-$L144</f>
        <v>-900000</v>
      </c>
      <c r="E136" s="130">
        <f>-L145</f>
        <v>-840000</v>
      </c>
      <c r="F136" s="130">
        <f>-L146</f>
        <v>-780000</v>
      </c>
      <c r="G136" s="130">
        <f>-L147</f>
        <v>-720000</v>
      </c>
      <c r="H136" s="130">
        <f>-L148</f>
        <v>-660000</v>
      </c>
      <c r="J136" t="s">
        <v>224</v>
      </c>
    </row>
    <row r="137" spans="1:15" x14ac:dyDescent="0.25">
      <c r="A137" s="341"/>
      <c r="B137" s="149" t="s">
        <v>223</v>
      </c>
      <c r="C137" s="7"/>
      <c r="D137" s="7">
        <v>-700000</v>
      </c>
      <c r="E137" s="7">
        <f>$D$137</f>
        <v>-700000</v>
      </c>
      <c r="F137" s="7">
        <f>$D$137</f>
        <v>-700000</v>
      </c>
      <c r="G137" s="7">
        <f>$D$137</f>
        <v>-700000</v>
      </c>
      <c r="H137" s="7">
        <f>$D$137</f>
        <v>-700000</v>
      </c>
    </row>
    <row r="138" spans="1:15" x14ac:dyDescent="0.25">
      <c r="A138" s="342" t="s">
        <v>225</v>
      </c>
      <c r="B138" s="292"/>
      <c r="C138" s="7">
        <f>D137*(1/2)</f>
        <v>-350000</v>
      </c>
      <c r="D138" s="7">
        <f>(D137*(1/2))+(E137*(1/2))</f>
        <v>-700000</v>
      </c>
      <c r="E138" s="7">
        <f t="shared" ref="E138:H138" si="47">(E137*(1/2))+(F137*(1/2))</f>
        <v>-700000</v>
      </c>
      <c r="F138" s="7">
        <f t="shared" si="47"/>
        <v>-700000</v>
      </c>
      <c r="G138" s="7">
        <f t="shared" si="47"/>
        <v>-700000</v>
      </c>
      <c r="H138" s="7">
        <f t="shared" si="47"/>
        <v>-350000</v>
      </c>
      <c r="J138" t="s">
        <v>219</v>
      </c>
    </row>
    <row r="139" spans="1:15" x14ac:dyDescent="0.25">
      <c r="A139" s="106"/>
      <c r="B139" s="152"/>
      <c r="C139" s="127"/>
      <c r="D139" s="127"/>
      <c r="E139" s="127"/>
      <c r="F139" s="127"/>
      <c r="G139" s="127"/>
      <c r="H139" s="127"/>
      <c r="J139" s="130" t="s">
        <v>218</v>
      </c>
      <c r="K139" s="144">
        <v>0.1</v>
      </c>
      <c r="L139" s="130" t="s">
        <v>204</v>
      </c>
    </row>
    <row r="140" spans="1:15" ht="15" customHeight="1" x14ac:dyDescent="0.25">
      <c r="B140" s="151" t="s">
        <v>227</v>
      </c>
      <c r="C140" s="147">
        <f>C130+C133+C135+C137</f>
        <v>-5000000</v>
      </c>
      <c r="D140" s="147">
        <f>D130+D137+D136</f>
        <v>400000</v>
      </c>
      <c r="E140" s="147">
        <f t="shared" ref="E140:H140" si="48">E130+E137+E136</f>
        <v>860000</v>
      </c>
      <c r="F140" s="147">
        <f t="shared" si="48"/>
        <v>1400000</v>
      </c>
      <c r="G140" s="147">
        <f t="shared" si="48"/>
        <v>2036000</v>
      </c>
      <c r="H140" s="147">
        <f t="shared" si="48"/>
        <v>2787200</v>
      </c>
      <c r="I140">
        <f>SUM(C140:H140)</f>
        <v>2483200</v>
      </c>
      <c r="J140" s="294" t="s">
        <v>1</v>
      </c>
      <c r="K140" s="294" t="s">
        <v>2</v>
      </c>
      <c r="L140" s="294" t="s">
        <v>3</v>
      </c>
      <c r="M140" s="294" t="s">
        <v>4</v>
      </c>
      <c r="N140" s="294" t="s">
        <v>5</v>
      </c>
      <c r="O140" s="294" t="s">
        <v>6</v>
      </c>
    </row>
    <row r="141" spans="1:15" x14ac:dyDescent="0.25">
      <c r="B141" s="145" t="s">
        <v>226</v>
      </c>
      <c r="C141" s="130">
        <f>C138+C136+C135+C131+C133</f>
        <v>-4350000</v>
      </c>
      <c r="D141" s="130">
        <f>D138+D136+D131</f>
        <v>600000</v>
      </c>
      <c r="E141" s="130">
        <f t="shared" ref="E141:H141" si="49">E138+E136+E131</f>
        <v>1100000</v>
      </c>
      <c r="F141" s="130">
        <f t="shared" si="49"/>
        <v>1688000</v>
      </c>
      <c r="G141" s="130">
        <f t="shared" si="49"/>
        <v>2381600</v>
      </c>
      <c r="H141" s="130">
        <f t="shared" si="49"/>
        <v>1063600</v>
      </c>
      <c r="I141">
        <f>SUM(C141:H141)</f>
        <v>2483200</v>
      </c>
      <c r="J141" s="295"/>
      <c r="K141" s="295"/>
      <c r="L141" s="295"/>
      <c r="M141" s="295"/>
      <c r="N141" s="295"/>
      <c r="O141" s="295"/>
    </row>
    <row r="142" spans="1:15" x14ac:dyDescent="0.25">
      <c r="J142" s="295"/>
      <c r="K142" s="295"/>
      <c r="L142" s="295"/>
      <c r="M142" s="295"/>
      <c r="N142" s="295"/>
      <c r="O142" s="295"/>
    </row>
    <row r="143" spans="1:15" ht="15" customHeight="1" x14ac:dyDescent="0.25">
      <c r="B143" s="22" t="s">
        <v>57</v>
      </c>
      <c r="C143" s="155">
        <f>(NPV(J126,D141:H141))+C141</f>
        <v>-422756.6231152704</v>
      </c>
      <c r="J143" s="296"/>
      <c r="K143" s="296"/>
      <c r="L143" s="296"/>
      <c r="M143" s="296"/>
      <c r="N143" s="296"/>
      <c r="O143" s="296"/>
    </row>
    <row r="144" spans="1:15" x14ac:dyDescent="0.25">
      <c r="B144" s="22" t="s">
        <v>77</v>
      </c>
      <c r="C144" s="153">
        <f>IRR(C141:H141)</f>
        <v>0.15032725859812501</v>
      </c>
      <c r="J144" s="130">
        <v>1</v>
      </c>
      <c r="K144" s="130">
        <f>C133</f>
        <v>3000000</v>
      </c>
      <c r="L144" s="130">
        <f>M144+N144</f>
        <v>900000</v>
      </c>
      <c r="M144" s="130">
        <f>K144*$K$139</f>
        <v>300000</v>
      </c>
      <c r="N144" s="130">
        <f>$K$144/5</f>
        <v>600000</v>
      </c>
      <c r="O144" s="130">
        <f>N144</f>
        <v>600000</v>
      </c>
    </row>
    <row r="145" spans="2:15" x14ac:dyDescent="0.25">
      <c r="J145" s="130">
        <v>2</v>
      </c>
      <c r="K145" s="130">
        <f>$K$144-O144</f>
        <v>2400000</v>
      </c>
      <c r="L145" s="130">
        <f t="shared" ref="L145:L148" si="50">M145+N145</f>
        <v>840000</v>
      </c>
      <c r="M145" s="130">
        <f>K145*$K$139</f>
        <v>240000</v>
      </c>
      <c r="N145" s="130">
        <f>$K$144/5</f>
        <v>600000</v>
      </c>
      <c r="O145" s="130">
        <f>N145+O144</f>
        <v>1200000</v>
      </c>
    </row>
    <row r="146" spans="2:15" x14ac:dyDescent="0.25">
      <c r="J146" s="130">
        <v>3</v>
      </c>
      <c r="K146" s="130">
        <f>$K$144-O145</f>
        <v>1800000</v>
      </c>
      <c r="L146" s="130">
        <f t="shared" si="50"/>
        <v>780000</v>
      </c>
      <c r="M146" s="130">
        <f>K146*$K$139</f>
        <v>180000</v>
      </c>
      <c r="N146" s="130">
        <f>$K$144/5</f>
        <v>600000</v>
      </c>
      <c r="O146" s="130">
        <f t="shared" ref="O146:O148" si="51">N146+O145</f>
        <v>1800000</v>
      </c>
    </row>
    <row r="147" spans="2:15" x14ac:dyDescent="0.25">
      <c r="J147" s="130">
        <v>4</v>
      </c>
      <c r="K147" s="130">
        <f>$K$144-O146</f>
        <v>1200000</v>
      </c>
      <c r="L147" s="130">
        <f t="shared" si="50"/>
        <v>720000</v>
      </c>
      <c r="M147" s="130">
        <f>K147*$K$139</f>
        <v>120000</v>
      </c>
      <c r="N147" s="130">
        <f>$K$144/5</f>
        <v>600000</v>
      </c>
      <c r="O147" s="130">
        <f t="shared" si="51"/>
        <v>2400000</v>
      </c>
    </row>
    <row r="148" spans="2:15" x14ac:dyDescent="0.25">
      <c r="J148" s="130">
        <v>5</v>
      </c>
      <c r="K148" s="130">
        <f>$K$144-O147</f>
        <v>600000</v>
      </c>
      <c r="L148" s="130">
        <f t="shared" si="50"/>
        <v>660000</v>
      </c>
      <c r="M148" s="130">
        <f>K148*$K$139</f>
        <v>60000</v>
      </c>
      <c r="N148" s="130">
        <f>$K$144/5</f>
        <v>600000</v>
      </c>
      <c r="O148" s="130">
        <f t="shared" si="51"/>
        <v>3000000</v>
      </c>
    </row>
    <row r="149" spans="2:15" x14ac:dyDescent="0.25">
      <c r="J149" s="76"/>
      <c r="K149" s="76"/>
      <c r="L149" s="76"/>
      <c r="M149" s="76"/>
      <c r="N149" s="76"/>
      <c r="O149" s="76"/>
    </row>
    <row r="150" spans="2:15" x14ac:dyDescent="0.25">
      <c r="B150" s="113" t="s">
        <v>156</v>
      </c>
      <c r="C150" s="48"/>
      <c r="D150" s="48"/>
      <c r="E150" s="48"/>
      <c r="F150" s="48"/>
      <c r="G150" s="48"/>
      <c r="H150" s="48"/>
      <c r="I150" s="48"/>
      <c r="J150" s="48"/>
      <c r="K150" s="48"/>
      <c r="L150" s="48"/>
      <c r="M150" s="48"/>
      <c r="N150" s="76"/>
      <c r="O150" s="76"/>
    </row>
    <row r="151" spans="2:15" x14ac:dyDescent="0.25">
      <c r="B151" s="335" t="s">
        <v>157</v>
      </c>
      <c r="C151" s="335"/>
      <c r="D151" s="335"/>
      <c r="E151" s="335"/>
      <c r="F151" s="335"/>
      <c r="G151" s="335"/>
      <c r="H151" s="335"/>
      <c r="I151" s="335"/>
      <c r="J151" s="335"/>
      <c r="K151" s="335"/>
      <c r="L151" s="335"/>
      <c r="M151" s="335"/>
      <c r="N151" s="76"/>
      <c r="O151" s="76"/>
    </row>
    <row r="152" spans="2:15" ht="15" customHeight="1" x14ac:dyDescent="0.25">
      <c r="B152" s="337" t="s">
        <v>228</v>
      </c>
      <c r="C152" s="337"/>
      <c r="D152" s="337"/>
      <c r="E152" s="337"/>
      <c r="F152" s="337"/>
      <c r="G152" s="337"/>
      <c r="H152" s="337"/>
      <c r="I152" s="337"/>
      <c r="J152" s="337"/>
      <c r="K152" s="337"/>
      <c r="L152" s="337"/>
      <c r="M152" s="337"/>
      <c r="N152" s="76"/>
      <c r="O152" s="76"/>
    </row>
    <row r="153" spans="2:15" x14ac:dyDescent="0.25">
      <c r="B153" s="337"/>
      <c r="C153" s="337"/>
      <c r="D153" s="337"/>
      <c r="E153" s="337"/>
      <c r="F153" s="337"/>
      <c r="G153" s="337"/>
      <c r="H153" s="337"/>
      <c r="I153" s="337"/>
      <c r="J153" s="337"/>
      <c r="K153" s="337"/>
      <c r="L153" s="337"/>
      <c r="M153" s="337"/>
      <c r="N153" s="76"/>
      <c r="O153" s="76"/>
    </row>
    <row r="154" spans="2:15" x14ac:dyDescent="0.25">
      <c r="B154" s="336" t="s">
        <v>158</v>
      </c>
      <c r="C154" s="336"/>
      <c r="D154" s="336"/>
      <c r="E154" s="336"/>
      <c r="F154" s="336"/>
      <c r="G154" s="336"/>
      <c r="H154" s="336"/>
      <c r="I154" s="336"/>
      <c r="J154" s="336"/>
      <c r="K154" s="336"/>
      <c r="L154" s="336"/>
      <c r="M154" s="336"/>
      <c r="N154" s="76"/>
      <c r="O154" s="76"/>
    </row>
    <row r="155" spans="2:15" x14ac:dyDescent="0.25">
      <c r="B155" s="338" t="s">
        <v>230</v>
      </c>
      <c r="C155" s="338"/>
      <c r="D155" s="338"/>
      <c r="E155" s="338"/>
      <c r="F155" s="338"/>
      <c r="G155" s="338"/>
      <c r="H155" s="338"/>
      <c r="I155" s="338"/>
      <c r="J155" s="338"/>
      <c r="K155" s="338"/>
      <c r="L155" s="338"/>
      <c r="M155" s="338"/>
      <c r="N155" s="76"/>
      <c r="O155" s="76"/>
    </row>
    <row r="156" spans="2:15" x14ac:dyDescent="0.25">
      <c r="B156" s="335" t="s">
        <v>159</v>
      </c>
      <c r="C156" s="335"/>
      <c r="D156" s="335"/>
      <c r="E156" s="335"/>
      <c r="F156" s="335"/>
      <c r="G156" s="335"/>
      <c r="H156" s="335"/>
      <c r="I156" s="335"/>
      <c r="J156" s="335"/>
      <c r="K156" s="335"/>
      <c r="L156" s="335"/>
      <c r="M156" s="335"/>
      <c r="N156" s="76"/>
      <c r="O156" s="76"/>
    </row>
    <row r="157" spans="2:15" ht="15" customHeight="1" x14ac:dyDescent="0.25">
      <c r="B157" s="337" t="s">
        <v>229</v>
      </c>
      <c r="C157" s="337"/>
      <c r="D157" s="337"/>
      <c r="E157" s="337"/>
      <c r="F157" s="337"/>
      <c r="G157" s="337"/>
      <c r="H157" s="337"/>
      <c r="I157" s="337"/>
      <c r="J157" s="337"/>
      <c r="K157" s="337"/>
      <c r="L157" s="337"/>
      <c r="M157" s="337"/>
      <c r="N157" s="76"/>
      <c r="O157" s="76"/>
    </row>
    <row r="158" spans="2:15" ht="15" customHeight="1" x14ac:dyDescent="0.25">
      <c r="B158" s="337"/>
      <c r="C158" s="337"/>
      <c r="D158" s="337"/>
      <c r="E158" s="337"/>
      <c r="F158" s="337"/>
      <c r="G158" s="337"/>
      <c r="H158" s="337"/>
      <c r="I158" s="337"/>
      <c r="J158" s="337"/>
      <c r="K158" s="337"/>
      <c r="L158" s="337"/>
      <c r="M158" s="337"/>
      <c r="N158" s="76"/>
      <c r="O158" s="76"/>
    </row>
    <row r="159" spans="2:15" x14ac:dyDescent="0.25">
      <c r="B159" s="308" t="s">
        <v>160</v>
      </c>
      <c r="C159" s="308"/>
      <c r="D159" s="308"/>
      <c r="E159" s="308"/>
      <c r="F159" s="308"/>
      <c r="G159" s="308"/>
      <c r="H159" s="308"/>
      <c r="I159" s="308"/>
      <c r="J159" s="308"/>
      <c r="K159" s="308"/>
      <c r="L159" s="308"/>
      <c r="M159" s="308"/>
      <c r="N159" s="76"/>
      <c r="O159" s="76"/>
    </row>
    <row r="160" spans="2:15" x14ac:dyDescent="0.25">
      <c r="B160" s="308"/>
      <c r="C160" s="308"/>
      <c r="D160" s="308"/>
      <c r="E160" s="308"/>
      <c r="F160" s="308"/>
      <c r="G160" s="308"/>
      <c r="H160" s="308"/>
      <c r="I160" s="308"/>
      <c r="J160" s="308"/>
      <c r="K160" s="308"/>
      <c r="L160" s="308"/>
      <c r="M160" s="308"/>
    </row>
    <row r="161" spans="1:15" ht="15" customHeight="1" x14ac:dyDescent="0.25">
      <c r="B161" s="339" t="s">
        <v>231</v>
      </c>
      <c r="C161" s="339"/>
      <c r="D161" s="339"/>
      <c r="E161" s="339"/>
      <c r="F161" s="339"/>
      <c r="G161" s="339"/>
      <c r="H161" s="339"/>
      <c r="I161" s="339"/>
      <c r="J161" s="339"/>
      <c r="K161" s="339"/>
      <c r="L161" s="339"/>
      <c r="M161" s="339"/>
    </row>
    <row r="162" spans="1:15" ht="15" customHeight="1" x14ac:dyDescent="0.25">
      <c r="B162" s="339"/>
      <c r="C162" s="339"/>
      <c r="D162" s="339"/>
      <c r="E162" s="339"/>
      <c r="F162" s="339"/>
      <c r="G162" s="339"/>
      <c r="H162" s="339"/>
      <c r="I162" s="339"/>
      <c r="J162" s="339"/>
      <c r="K162" s="339"/>
      <c r="L162" s="339"/>
      <c r="M162" s="339"/>
    </row>
    <row r="163" spans="1:15" ht="15" customHeight="1" x14ac:dyDescent="0.25">
      <c r="B163" s="156"/>
      <c r="C163" s="156"/>
      <c r="D163" s="156"/>
      <c r="E163" s="156"/>
      <c r="F163" s="156"/>
      <c r="G163" s="156"/>
      <c r="H163" s="156"/>
      <c r="I163" s="156"/>
      <c r="J163" s="156"/>
      <c r="K163" s="156"/>
      <c r="L163" s="156"/>
      <c r="M163" s="156"/>
    </row>
    <row r="164" spans="1:15" x14ac:dyDescent="0.25">
      <c r="A164" s="46" t="s">
        <v>165</v>
      </c>
    </row>
    <row r="165" spans="1:15" ht="15" customHeight="1" x14ac:dyDescent="0.25">
      <c r="B165" s="269" t="s">
        <v>164</v>
      </c>
      <c r="C165" s="269"/>
      <c r="D165" s="269"/>
      <c r="E165" s="269"/>
      <c r="F165" s="269"/>
      <c r="G165" s="269"/>
      <c r="H165" s="269"/>
      <c r="I165" s="269"/>
      <c r="J165" s="269"/>
      <c r="K165" s="269"/>
      <c r="L165" s="269"/>
      <c r="M165" s="269"/>
    </row>
    <row r="166" spans="1:15" ht="15" customHeight="1" x14ac:dyDescent="0.25">
      <c r="B166" s="269"/>
      <c r="C166" s="269"/>
      <c r="D166" s="269"/>
      <c r="E166" s="269"/>
      <c r="F166" s="269"/>
      <c r="G166" s="269"/>
      <c r="H166" s="269"/>
      <c r="I166" s="269"/>
      <c r="J166" s="269"/>
      <c r="K166" s="269"/>
      <c r="L166" s="269"/>
      <c r="M166" s="269"/>
    </row>
    <row r="167" spans="1:15" x14ac:dyDescent="0.25">
      <c r="B167" s="45"/>
      <c r="C167" s="45"/>
      <c r="D167" s="45"/>
      <c r="E167" s="45"/>
      <c r="F167" s="45"/>
      <c r="G167" s="45"/>
      <c r="H167" s="45"/>
      <c r="I167" s="45"/>
      <c r="J167" s="45"/>
      <c r="K167" s="45"/>
      <c r="L167" s="45"/>
      <c r="M167" s="45"/>
    </row>
    <row r="168" spans="1:15" x14ac:dyDescent="0.25">
      <c r="C168" s="130">
        <v>0</v>
      </c>
      <c r="D168" s="130">
        <v>1</v>
      </c>
      <c r="E168" s="130">
        <v>2</v>
      </c>
      <c r="F168" s="130">
        <v>3</v>
      </c>
      <c r="G168" s="130">
        <v>4</v>
      </c>
      <c r="H168" s="130">
        <v>5</v>
      </c>
      <c r="I168" s="130">
        <v>6</v>
      </c>
      <c r="J168" s="130">
        <v>7</v>
      </c>
      <c r="K168" s="130">
        <v>8</v>
      </c>
      <c r="L168" s="130">
        <v>9</v>
      </c>
      <c r="M168" s="130">
        <v>10</v>
      </c>
      <c r="N168" s="130">
        <v>11</v>
      </c>
      <c r="O168" s="130">
        <v>12</v>
      </c>
    </row>
    <row r="169" spans="1:15" x14ac:dyDescent="0.25">
      <c r="C169" s="130">
        <v>8000</v>
      </c>
      <c r="D169" s="130">
        <f>-1099</f>
        <v>-1099</v>
      </c>
      <c r="E169" s="130">
        <f>$D$169</f>
        <v>-1099</v>
      </c>
      <c r="F169" s="130">
        <f t="shared" ref="F169:O169" si="52">$D$169</f>
        <v>-1099</v>
      </c>
      <c r="G169" s="130">
        <f t="shared" si="52"/>
        <v>-1099</v>
      </c>
      <c r="H169" s="130">
        <f t="shared" si="52"/>
        <v>-1099</v>
      </c>
      <c r="I169" s="130">
        <f t="shared" si="52"/>
        <v>-1099</v>
      </c>
      <c r="J169" s="130">
        <f t="shared" si="52"/>
        <v>-1099</v>
      </c>
      <c r="K169" s="130">
        <f t="shared" si="52"/>
        <v>-1099</v>
      </c>
      <c r="L169" s="130">
        <f t="shared" si="52"/>
        <v>-1099</v>
      </c>
      <c r="M169" s="130">
        <f t="shared" si="52"/>
        <v>-1099</v>
      </c>
      <c r="N169" s="130">
        <f t="shared" si="52"/>
        <v>-1099</v>
      </c>
      <c r="O169" s="130">
        <f t="shared" si="52"/>
        <v>-1099</v>
      </c>
    </row>
    <row r="170" spans="1:15" x14ac:dyDescent="0.25">
      <c r="C170" s="76"/>
      <c r="D170" s="76"/>
      <c r="E170" s="76"/>
      <c r="F170" s="76"/>
      <c r="G170" s="76"/>
      <c r="H170" s="76"/>
      <c r="I170" s="76"/>
      <c r="J170" s="76"/>
      <c r="K170" s="76"/>
      <c r="L170" s="76"/>
      <c r="M170" s="76"/>
      <c r="N170" s="76"/>
      <c r="O170" s="76"/>
    </row>
    <row r="171" spans="1:15" x14ac:dyDescent="0.25">
      <c r="B171" s="168" t="s">
        <v>134</v>
      </c>
      <c r="C171" s="169">
        <f>IRR(C169:O169)</f>
        <v>8.6753466991875694E-2</v>
      </c>
      <c r="D171" s="76"/>
      <c r="E171" s="76"/>
      <c r="F171" s="76"/>
      <c r="G171" s="76"/>
      <c r="H171" s="76"/>
      <c r="I171" s="76"/>
      <c r="J171" s="76"/>
      <c r="K171" s="76"/>
      <c r="L171" s="76"/>
      <c r="M171" s="76"/>
      <c r="N171" s="76"/>
      <c r="O171" s="76"/>
    </row>
    <row r="172" spans="1:15" x14ac:dyDescent="0.25">
      <c r="B172" s="168" t="s">
        <v>133</v>
      </c>
      <c r="C172" s="170">
        <f>D172-1</f>
        <v>1.7137660959334453</v>
      </c>
      <c r="D172" s="5">
        <f>(1+C171)^(12/1)</f>
        <v>2.7137660959334453</v>
      </c>
    </row>
    <row r="173" spans="1:15" x14ac:dyDescent="0.25">
      <c r="B173" s="171"/>
      <c r="C173" s="172"/>
      <c r="D173" s="5"/>
    </row>
    <row r="174" spans="1:15" x14ac:dyDescent="0.25">
      <c r="A174" s="46" t="s">
        <v>166</v>
      </c>
    </row>
    <row r="175" spans="1:15" ht="15" customHeight="1" x14ac:dyDescent="0.25">
      <c r="B175" s="269" t="s">
        <v>167</v>
      </c>
      <c r="C175" s="269"/>
      <c r="D175" s="269"/>
      <c r="E175" s="269"/>
      <c r="F175" s="269"/>
      <c r="G175" s="269"/>
      <c r="H175" s="269"/>
      <c r="I175" s="269"/>
      <c r="J175" s="269"/>
      <c r="K175" s="269"/>
      <c r="L175" s="269"/>
      <c r="M175" s="269"/>
    </row>
    <row r="176" spans="1:15" x14ac:dyDescent="0.25">
      <c r="B176" s="269"/>
      <c r="C176" s="269"/>
      <c r="D176" s="269"/>
      <c r="E176" s="269"/>
      <c r="F176" s="269"/>
      <c r="G176" s="269"/>
      <c r="H176" s="269"/>
      <c r="I176" s="269"/>
      <c r="J176" s="269"/>
      <c r="K176" s="269"/>
      <c r="L176" s="269"/>
      <c r="M176" s="269"/>
    </row>
    <row r="177" spans="1:27" x14ac:dyDescent="0.25">
      <c r="B177" s="269"/>
      <c r="C177" s="269"/>
      <c r="D177" s="269"/>
      <c r="E177" s="269"/>
      <c r="F177" s="269"/>
      <c r="G177" s="269"/>
      <c r="H177" s="269"/>
      <c r="I177" s="269"/>
      <c r="J177" s="269"/>
      <c r="K177" s="269"/>
      <c r="L177" s="269"/>
      <c r="M177" s="269"/>
    </row>
    <row r="178" spans="1:27" x14ac:dyDescent="0.25">
      <c r="B178" s="269"/>
      <c r="C178" s="269"/>
      <c r="D178" s="269"/>
      <c r="E178" s="269"/>
      <c r="F178" s="269"/>
      <c r="G178" s="269"/>
      <c r="H178" s="269"/>
      <c r="I178" s="269"/>
      <c r="J178" s="269"/>
      <c r="K178" s="269"/>
      <c r="L178" s="269"/>
      <c r="M178" s="269"/>
    </row>
    <row r="179" spans="1:27" x14ac:dyDescent="0.25">
      <c r="B179" s="269"/>
      <c r="C179" s="269"/>
      <c r="D179" s="269"/>
      <c r="E179" s="269"/>
      <c r="F179" s="269"/>
      <c r="G179" s="269"/>
      <c r="H179" s="269"/>
      <c r="I179" s="269"/>
      <c r="J179" s="269"/>
      <c r="K179" s="269"/>
      <c r="L179" s="269"/>
      <c r="M179" s="269"/>
    </row>
    <row r="181" spans="1:27" x14ac:dyDescent="0.25">
      <c r="A181" s="46" t="s">
        <v>98</v>
      </c>
      <c r="B181" s="130" t="s">
        <v>130</v>
      </c>
      <c r="C181" s="130">
        <v>0</v>
      </c>
      <c r="D181" s="130">
        <v>1</v>
      </c>
      <c r="E181" s="130">
        <f>D181+1</f>
        <v>2</v>
      </c>
      <c r="F181" s="130">
        <f t="shared" ref="F181:AA181" si="53">E181+1</f>
        <v>3</v>
      </c>
      <c r="G181" s="130">
        <f t="shared" si="53"/>
        <v>4</v>
      </c>
      <c r="H181" s="130">
        <f t="shared" si="53"/>
        <v>5</v>
      </c>
      <c r="I181" s="130">
        <f t="shared" si="53"/>
        <v>6</v>
      </c>
      <c r="J181" s="130">
        <f t="shared" si="53"/>
        <v>7</v>
      </c>
      <c r="K181" s="130">
        <f t="shared" si="53"/>
        <v>8</v>
      </c>
      <c r="L181" s="130">
        <f t="shared" si="53"/>
        <v>9</v>
      </c>
      <c r="M181" s="130">
        <f t="shared" si="53"/>
        <v>10</v>
      </c>
      <c r="N181" s="130">
        <f t="shared" si="53"/>
        <v>11</v>
      </c>
      <c r="O181" s="130">
        <f t="shared" si="53"/>
        <v>12</v>
      </c>
      <c r="P181" s="130">
        <f t="shared" si="53"/>
        <v>13</v>
      </c>
      <c r="Q181" s="130">
        <f t="shared" si="53"/>
        <v>14</v>
      </c>
      <c r="R181" s="130">
        <f t="shared" si="53"/>
        <v>15</v>
      </c>
      <c r="S181" s="130">
        <f>R181+1</f>
        <v>16</v>
      </c>
      <c r="T181" s="130">
        <f t="shared" si="53"/>
        <v>17</v>
      </c>
      <c r="U181" s="130">
        <f t="shared" si="53"/>
        <v>18</v>
      </c>
      <c r="V181" s="130">
        <f t="shared" si="53"/>
        <v>19</v>
      </c>
      <c r="W181" s="130">
        <f t="shared" si="53"/>
        <v>20</v>
      </c>
      <c r="X181" s="130">
        <f t="shared" si="53"/>
        <v>21</v>
      </c>
      <c r="Y181" s="130">
        <f t="shared" si="53"/>
        <v>22</v>
      </c>
      <c r="Z181" s="130">
        <f t="shared" si="53"/>
        <v>23</v>
      </c>
      <c r="AA181" s="130">
        <f t="shared" si="53"/>
        <v>24</v>
      </c>
    </row>
    <row r="182" spans="1:27" x14ac:dyDescent="0.25">
      <c r="B182" s="130" t="s">
        <v>236</v>
      </c>
      <c r="C182" s="130">
        <v>280000</v>
      </c>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row>
    <row r="183" spans="1:27" x14ac:dyDescent="0.25">
      <c r="B183" s="130" t="s">
        <v>237</v>
      </c>
      <c r="C183" s="130"/>
      <c r="D183" s="130">
        <v>-21906</v>
      </c>
      <c r="E183" s="130">
        <f>$D$183</f>
        <v>-21906</v>
      </c>
      <c r="F183" s="130">
        <f t="shared" ref="F183:AA183" si="54">$D$183</f>
        <v>-21906</v>
      </c>
      <c r="G183" s="130">
        <f t="shared" si="54"/>
        <v>-21906</v>
      </c>
      <c r="H183" s="130">
        <f t="shared" si="54"/>
        <v>-21906</v>
      </c>
      <c r="I183" s="130">
        <f t="shared" si="54"/>
        <v>-21906</v>
      </c>
      <c r="J183" s="130">
        <f t="shared" si="54"/>
        <v>-21906</v>
      </c>
      <c r="K183" s="130">
        <f t="shared" si="54"/>
        <v>-21906</v>
      </c>
      <c r="L183" s="130">
        <f t="shared" si="54"/>
        <v>-21906</v>
      </c>
      <c r="M183" s="130">
        <f t="shared" si="54"/>
        <v>-21906</v>
      </c>
      <c r="N183" s="130">
        <f t="shared" si="54"/>
        <v>-21906</v>
      </c>
      <c r="O183" s="130">
        <f t="shared" si="54"/>
        <v>-21906</v>
      </c>
      <c r="P183" s="130">
        <f t="shared" si="54"/>
        <v>-21906</v>
      </c>
      <c r="Q183" s="130">
        <f t="shared" si="54"/>
        <v>-21906</v>
      </c>
      <c r="R183" s="130">
        <f t="shared" si="54"/>
        <v>-21906</v>
      </c>
      <c r="S183" s="130">
        <f t="shared" si="54"/>
        <v>-21906</v>
      </c>
      <c r="T183" s="130">
        <f t="shared" si="54"/>
        <v>-21906</v>
      </c>
      <c r="U183" s="130">
        <f t="shared" si="54"/>
        <v>-21906</v>
      </c>
      <c r="V183" s="130">
        <f t="shared" si="54"/>
        <v>-21906</v>
      </c>
      <c r="W183" s="130">
        <f t="shared" si="54"/>
        <v>-21906</v>
      </c>
      <c r="X183" s="130">
        <f t="shared" si="54"/>
        <v>-21906</v>
      </c>
      <c r="Y183" s="130">
        <f t="shared" si="54"/>
        <v>-21906</v>
      </c>
      <c r="Z183" s="130">
        <f t="shared" si="54"/>
        <v>-21906</v>
      </c>
      <c r="AA183" s="130">
        <f t="shared" si="54"/>
        <v>-21906</v>
      </c>
    </row>
    <row r="184" spans="1:27" x14ac:dyDescent="0.25">
      <c r="B184" s="145" t="s">
        <v>50</v>
      </c>
      <c r="C184" s="130">
        <f>SUM(C182:C183)</f>
        <v>280000</v>
      </c>
      <c r="D184" s="130">
        <f t="shared" ref="D184:AA184" si="55">SUM(D182:D183)</f>
        <v>-21906</v>
      </c>
      <c r="E184" s="130">
        <f t="shared" si="55"/>
        <v>-21906</v>
      </c>
      <c r="F184" s="130">
        <f t="shared" si="55"/>
        <v>-21906</v>
      </c>
      <c r="G184" s="130">
        <f t="shared" si="55"/>
        <v>-21906</v>
      </c>
      <c r="H184" s="130">
        <f t="shared" si="55"/>
        <v>-21906</v>
      </c>
      <c r="I184" s="130">
        <f t="shared" si="55"/>
        <v>-21906</v>
      </c>
      <c r="J184" s="130">
        <f t="shared" si="55"/>
        <v>-21906</v>
      </c>
      <c r="K184" s="130">
        <f t="shared" si="55"/>
        <v>-21906</v>
      </c>
      <c r="L184" s="130">
        <f t="shared" si="55"/>
        <v>-21906</v>
      </c>
      <c r="M184" s="130">
        <f t="shared" si="55"/>
        <v>-21906</v>
      </c>
      <c r="N184" s="130">
        <f t="shared" si="55"/>
        <v>-21906</v>
      </c>
      <c r="O184" s="130">
        <f t="shared" si="55"/>
        <v>-21906</v>
      </c>
      <c r="P184" s="130">
        <f t="shared" si="55"/>
        <v>-21906</v>
      </c>
      <c r="Q184" s="130">
        <f t="shared" si="55"/>
        <v>-21906</v>
      </c>
      <c r="R184" s="130">
        <f t="shared" si="55"/>
        <v>-21906</v>
      </c>
      <c r="S184" s="130">
        <f t="shared" si="55"/>
        <v>-21906</v>
      </c>
      <c r="T184" s="130">
        <f t="shared" si="55"/>
        <v>-21906</v>
      </c>
      <c r="U184" s="130">
        <f t="shared" si="55"/>
        <v>-21906</v>
      </c>
      <c r="V184" s="130">
        <f t="shared" si="55"/>
        <v>-21906</v>
      </c>
      <c r="W184" s="130">
        <f t="shared" si="55"/>
        <v>-21906</v>
      </c>
      <c r="X184" s="130">
        <f t="shared" si="55"/>
        <v>-21906</v>
      </c>
      <c r="Y184" s="130">
        <f t="shared" si="55"/>
        <v>-21906</v>
      </c>
      <c r="Z184" s="130">
        <f t="shared" si="55"/>
        <v>-21906</v>
      </c>
      <c r="AA184" s="130">
        <f t="shared" si="55"/>
        <v>-21906</v>
      </c>
    </row>
    <row r="185" spans="1:27" x14ac:dyDescent="0.25">
      <c r="B185" s="88"/>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c r="AA185" s="76"/>
    </row>
    <row r="186" spans="1:27" x14ac:dyDescent="0.25">
      <c r="B186" s="167" t="s">
        <v>200</v>
      </c>
      <c r="C186" s="165">
        <f>IRR(C184:AA184)</f>
        <v>5.8031780125305188E-2</v>
      </c>
    </row>
    <row r="187" spans="1:27" x14ac:dyDescent="0.25">
      <c r="B187" s="167" t="s">
        <v>126</v>
      </c>
      <c r="C187" s="166">
        <f>D187-1</f>
        <v>0.96781630029481325</v>
      </c>
      <c r="D187">
        <f>(1+C186)^(12/1)</f>
        <v>1.9678163002948132</v>
      </c>
    </row>
    <row r="188" spans="1:27" x14ac:dyDescent="0.25">
      <c r="B188" s="173"/>
      <c r="C188" s="174"/>
    </row>
    <row r="189" spans="1:27" x14ac:dyDescent="0.25">
      <c r="A189" s="46" t="s">
        <v>103</v>
      </c>
      <c r="B189" s="130" t="s">
        <v>130</v>
      </c>
      <c r="C189" s="130">
        <v>0</v>
      </c>
      <c r="D189" s="130">
        <v>1</v>
      </c>
      <c r="E189" s="130">
        <f>D189+1</f>
        <v>2</v>
      </c>
      <c r="F189" s="130">
        <f t="shared" ref="F189:R189" si="56">E189+1</f>
        <v>3</v>
      </c>
      <c r="G189" s="130">
        <f t="shared" si="56"/>
        <v>4</v>
      </c>
      <c r="H189" s="130">
        <f t="shared" si="56"/>
        <v>5</v>
      </c>
      <c r="I189" s="130">
        <f t="shared" si="56"/>
        <v>6</v>
      </c>
      <c r="J189" s="130">
        <f t="shared" si="56"/>
        <v>7</v>
      </c>
      <c r="K189" s="130">
        <f t="shared" si="56"/>
        <v>8</v>
      </c>
      <c r="L189" s="130">
        <f t="shared" si="56"/>
        <v>9</v>
      </c>
      <c r="M189" s="130">
        <f t="shared" si="56"/>
        <v>10</v>
      </c>
      <c r="N189" s="130">
        <f t="shared" si="56"/>
        <v>11</v>
      </c>
      <c r="O189" s="130">
        <f t="shared" si="56"/>
        <v>12</v>
      </c>
      <c r="P189" s="130">
        <f t="shared" si="56"/>
        <v>13</v>
      </c>
      <c r="Q189" s="130">
        <f t="shared" si="56"/>
        <v>14</v>
      </c>
      <c r="R189" s="130">
        <f t="shared" si="56"/>
        <v>15</v>
      </c>
      <c r="S189" s="130">
        <f>R189+1</f>
        <v>16</v>
      </c>
      <c r="T189" s="130">
        <f t="shared" ref="T189:AA189" si="57">S189+1</f>
        <v>17</v>
      </c>
      <c r="U189" s="130">
        <f t="shared" si="57"/>
        <v>18</v>
      </c>
      <c r="V189" s="130">
        <f t="shared" si="57"/>
        <v>19</v>
      </c>
      <c r="W189" s="130">
        <f t="shared" si="57"/>
        <v>20</v>
      </c>
      <c r="X189" s="130">
        <f t="shared" si="57"/>
        <v>21</v>
      </c>
      <c r="Y189" s="130">
        <f t="shared" si="57"/>
        <v>22</v>
      </c>
      <c r="Z189" s="130">
        <f t="shared" si="57"/>
        <v>23</v>
      </c>
      <c r="AA189" s="130">
        <f t="shared" si="57"/>
        <v>24</v>
      </c>
    </row>
    <row r="190" spans="1:27" x14ac:dyDescent="0.25">
      <c r="B190" s="130" t="s">
        <v>236</v>
      </c>
      <c r="C190" s="130">
        <v>280000</v>
      </c>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row>
    <row r="191" spans="1:27" x14ac:dyDescent="0.25">
      <c r="B191" s="130" t="s">
        <v>237</v>
      </c>
      <c r="C191" s="130"/>
      <c r="D191" s="130">
        <v>-21906</v>
      </c>
      <c r="E191" s="130">
        <f>$D$183</f>
        <v>-21906</v>
      </c>
      <c r="F191" s="130">
        <f t="shared" ref="F191:AA191" si="58">$D$183</f>
        <v>-21906</v>
      </c>
      <c r="G191" s="130">
        <f t="shared" si="58"/>
        <v>-21906</v>
      </c>
      <c r="H191" s="130">
        <f t="shared" si="58"/>
        <v>-21906</v>
      </c>
      <c r="I191" s="130">
        <f t="shared" si="58"/>
        <v>-21906</v>
      </c>
      <c r="J191" s="130">
        <f t="shared" si="58"/>
        <v>-21906</v>
      </c>
      <c r="K191" s="130">
        <f t="shared" si="58"/>
        <v>-21906</v>
      </c>
      <c r="L191" s="130">
        <f t="shared" si="58"/>
        <v>-21906</v>
      </c>
      <c r="M191" s="130">
        <f t="shared" si="58"/>
        <v>-21906</v>
      </c>
      <c r="N191" s="130">
        <f t="shared" si="58"/>
        <v>-21906</v>
      </c>
      <c r="O191" s="130">
        <f t="shared" si="58"/>
        <v>-21906</v>
      </c>
      <c r="P191" s="130">
        <f t="shared" si="58"/>
        <v>-21906</v>
      </c>
      <c r="Q191" s="130">
        <f t="shared" si="58"/>
        <v>-21906</v>
      </c>
      <c r="R191" s="130">
        <f t="shared" si="58"/>
        <v>-21906</v>
      </c>
      <c r="S191" s="130">
        <f t="shared" si="58"/>
        <v>-21906</v>
      </c>
      <c r="T191" s="130">
        <f t="shared" si="58"/>
        <v>-21906</v>
      </c>
      <c r="U191" s="130">
        <f t="shared" si="58"/>
        <v>-21906</v>
      </c>
      <c r="V191" s="130">
        <f t="shared" si="58"/>
        <v>-21906</v>
      </c>
      <c r="W191" s="130">
        <f t="shared" si="58"/>
        <v>-21906</v>
      </c>
      <c r="X191" s="130">
        <f t="shared" si="58"/>
        <v>-21906</v>
      </c>
      <c r="Y191" s="130">
        <f t="shared" si="58"/>
        <v>-21906</v>
      </c>
      <c r="Z191" s="130">
        <f t="shared" si="58"/>
        <v>-21906</v>
      </c>
      <c r="AA191" s="130">
        <f t="shared" si="58"/>
        <v>-21906</v>
      </c>
    </row>
    <row r="192" spans="1:27" x14ac:dyDescent="0.25">
      <c r="B192" s="7" t="s">
        <v>238</v>
      </c>
      <c r="C192" s="130">
        <v>-25000</v>
      </c>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row>
    <row r="193" spans="1:27" x14ac:dyDescent="0.25">
      <c r="A193" s="284" t="s">
        <v>239</v>
      </c>
      <c r="B193" s="284"/>
      <c r="C193" s="130">
        <f>-23000</f>
        <v>-23000</v>
      </c>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f>-23000</f>
        <v>-23000</v>
      </c>
    </row>
    <row r="194" spans="1:27" x14ac:dyDescent="0.25">
      <c r="B194" s="151" t="s">
        <v>50</v>
      </c>
      <c r="C194" s="130">
        <f>SUM(C190:C193)</f>
        <v>232000</v>
      </c>
      <c r="D194" s="130">
        <f t="shared" ref="D194:AA194" si="59">SUM(D190:D193)</f>
        <v>-21906</v>
      </c>
      <c r="E194" s="130">
        <f t="shared" si="59"/>
        <v>-21906</v>
      </c>
      <c r="F194" s="130">
        <f t="shared" si="59"/>
        <v>-21906</v>
      </c>
      <c r="G194" s="130">
        <f t="shared" si="59"/>
        <v>-21906</v>
      </c>
      <c r="H194" s="130">
        <f t="shared" si="59"/>
        <v>-21906</v>
      </c>
      <c r="I194" s="130">
        <f t="shared" si="59"/>
        <v>-21906</v>
      </c>
      <c r="J194" s="130">
        <f t="shared" si="59"/>
        <v>-21906</v>
      </c>
      <c r="K194" s="130">
        <f t="shared" si="59"/>
        <v>-21906</v>
      </c>
      <c r="L194" s="130">
        <f t="shared" si="59"/>
        <v>-21906</v>
      </c>
      <c r="M194" s="130">
        <f t="shared" si="59"/>
        <v>-21906</v>
      </c>
      <c r="N194" s="130">
        <f t="shared" si="59"/>
        <v>-21906</v>
      </c>
      <c r="O194" s="130">
        <f t="shared" si="59"/>
        <v>-21906</v>
      </c>
      <c r="P194" s="130">
        <f t="shared" si="59"/>
        <v>-21906</v>
      </c>
      <c r="Q194" s="130">
        <f t="shared" si="59"/>
        <v>-21906</v>
      </c>
      <c r="R194" s="130">
        <f t="shared" si="59"/>
        <v>-21906</v>
      </c>
      <c r="S194" s="130">
        <f t="shared" si="59"/>
        <v>-21906</v>
      </c>
      <c r="T194" s="130">
        <f t="shared" si="59"/>
        <v>-21906</v>
      </c>
      <c r="U194" s="130">
        <f t="shared" si="59"/>
        <v>-21906</v>
      </c>
      <c r="V194" s="130">
        <f t="shared" si="59"/>
        <v>-21906</v>
      </c>
      <c r="W194" s="130">
        <f t="shared" si="59"/>
        <v>-21906</v>
      </c>
      <c r="X194" s="130">
        <f t="shared" si="59"/>
        <v>-21906</v>
      </c>
      <c r="Y194" s="130">
        <f t="shared" si="59"/>
        <v>-21906</v>
      </c>
      <c r="Z194" s="130">
        <f t="shared" si="59"/>
        <v>-21906</v>
      </c>
      <c r="AA194" s="130">
        <f t="shared" si="59"/>
        <v>-44906</v>
      </c>
    </row>
    <row r="195" spans="1:27" x14ac:dyDescent="0.25">
      <c r="B195" s="173"/>
      <c r="C195" s="174"/>
    </row>
    <row r="196" spans="1:27" x14ac:dyDescent="0.25">
      <c r="B196" s="167" t="s">
        <v>200</v>
      </c>
      <c r="C196" s="165">
        <f>IRR(C194:AA194)</f>
        <v>8.1141706454674445E-2</v>
      </c>
    </row>
    <row r="197" spans="1:27" x14ac:dyDescent="0.25">
      <c r="B197" s="167" t="s">
        <v>126</v>
      </c>
      <c r="C197" s="166">
        <f>D197-1</f>
        <v>1.5503010739470606</v>
      </c>
      <c r="D197">
        <f>(1+C196)^(12/1)</f>
        <v>2.5503010739470606</v>
      </c>
    </row>
    <row r="198" spans="1:27" x14ac:dyDescent="0.25">
      <c r="B198" s="173"/>
      <c r="C198" s="174"/>
    </row>
    <row r="200" spans="1:27" x14ac:dyDescent="0.25">
      <c r="A200" s="46" t="s">
        <v>168</v>
      </c>
    </row>
    <row r="201" spans="1:27" ht="15" customHeight="1" x14ac:dyDescent="0.25">
      <c r="B201" s="269" t="s">
        <v>169</v>
      </c>
      <c r="C201" s="269"/>
      <c r="D201" s="269"/>
      <c r="E201" s="269"/>
      <c r="F201" s="269"/>
      <c r="G201" s="269"/>
      <c r="H201" s="269"/>
      <c r="I201" s="269"/>
      <c r="J201" s="269"/>
      <c r="K201" s="269"/>
      <c r="L201" s="269"/>
      <c r="M201" s="269"/>
    </row>
    <row r="202" spans="1:27" x14ac:dyDescent="0.25">
      <c r="B202" s="269"/>
      <c r="C202" s="269"/>
      <c r="D202" s="269"/>
      <c r="E202" s="269"/>
      <c r="F202" s="269"/>
      <c r="G202" s="269"/>
      <c r="H202" s="269"/>
      <c r="I202" s="269"/>
      <c r="J202" s="269"/>
      <c r="K202" s="269"/>
      <c r="L202" s="269"/>
      <c r="M202" s="269"/>
    </row>
    <row r="203" spans="1:27" x14ac:dyDescent="0.25">
      <c r="B203" s="269"/>
      <c r="C203" s="269"/>
      <c r="D203" s="269"/>
      <c r="E203" s="269"/>
      <c r="F203" s="269"/>
      <c r="G203" s="269"/>
      <c r="H203" s="269"/>
      <c r="I203" s="269"/>
      <c r="J203" s="269"/>
      <c r="K203" s="269"/>
      <c r="L203" s="269"/>
      <c r="M203" s="269"/>
    </row>
    <row r="205" spans="1:27" ht="15" customHeight="1" x14ac:dyDescent="0.25">
      <c r="A205" s="114" t="s">
        <v>170</v>
      </c>
      <c r="B205" s="269" t="s">
        <v>171</v>
      </c>
      <c r="C205" s="269"/>
      <c r="D205" s="269"/>
      <c r="E205" s="269"/>
      <c r="F205" s="269"/>
      <c r="G205" s="269"/>
      <c r="H205" s="269"/>
      <c r="I205" s="269"/>
      <c r="J205" s="269"/>
      <c r="K205" s="269"/>
      <c r="L205" s="269"/>
      <c r="M205" s="269"/>
    </row>
    <row r="206" spans="1:27" x14ac:dyDescent="0.25">
      <c r="B206" s="269"/>
      <c r="C206" s="269"/>
      <c r="D206" s="269"/>
      <c r="E206" s="269"/>
      <c r="F206" s="269"/>
      <c r="G206" s="269"/>
      <c r="H206" s="269"/>
      <c r="I206" s="269"/>
      <c r="J206" s="269"/>
      <c r="K206" s="269"/>
      <c r="L206" s="269"/>
      <c r="M206" s="269"/>
    </row>
    <row r="207" spans="1:27" x14ac:dyDescent="0.25">
      <c r="B207" s="269"/>
      <c r="C207" s="269"/>
      <c r="D207" s="269"/>
      <c r="E207" s="269"/>
      <c r="F207" s="269"/>
      <c r="G207" s="269"/>
      <c r="H207" s="269"/>
      <c r="I207" s="269"/>
      <c r="J207" s="269"/>
      <c r="K207" s="269"/>
      <c r="L207" s="269"/>
      <c r="M207" s="269"/>
    </row>
    <row r="208" spans="1:27" x14ac:dyDescent="0.25">
      <c r="B208" s="267" t="s">
        <v>172</v>
      </c>
      <c r="C208" s="267"/>
      <c r="D208" s="267"/>
      <c r="E208" s="267"/>
      <c r="F208" s="267"/>
      <c r="G208" s="267"/>
      <c r="H208" s="267"/>
      <c r="I208" s="267"/>
      <c r="J208" s="267"/>
      <c r="K208" s="267"/>
      <c r="L208" s="267"/>
      <c r="M208" s="267"/>
    </row>
    <row r="209" spans="1:15" ht="15" customHeight="1" x14ac:dyDescent="0.25">
      <c r="B209" s="269" t="s">
        <v>173</v>
      </c>
      <c r="C209" s="269"/>
      <c r="D209" s="269"/>
      <c r="E209" s="269"/>
      <c r="F209" s="269"/>
      <c r="G209" s="269"/>
      <c r="H209" s="269"/>
      <c r="I209" s="269"/>
      <c r="J209" s="269"/>
      <c r="K209" s="269"/>
      <c r="L209" s="269"/>
      <c r="M209" s="269"/>
    </row>
    <row r="210" spans="1:15" x14ac:dyDescent="0.25">
      <c r="B210" s="269"/>
      <c r="C210" s="269"/>
      <c r="D210" s="269"/>
      <c r="E210" s="269"/>
      <c r="F210" s="269"/>
      <c r="G210" s="269"/>
      <c r="H210" s="269"/>
      <c r="I210" s="269"/>
      <c r="J210" s="269"/>
      <c r="K210" s="269"/>
      <c r="L210" s="269"/>
      <c r="M210" s="269"/>
    </row>
    <row r="211" spans="1:15" ht="15" customHeight="1" x14ac:dyDescent="0.25">
      <c r="B211" s="269" t="s">
        <v>174</v>
      </c>
      <c r="C211" s="269"/>
      <c r="D211" s="269"/>
      <c r="E211" s="269"/>
      <c r="F211" s="269"/>
      <c r="G211" s="269"/>
      <c r="H211" s="269"/>
      <c r="I211" s="269"/>
      <c r="J211" s="269"/>
      <c r="K211" s="269"/>
      <c r="L211" s="269"/>
      <c r="M211" s="269"/>
    </row>
    <row r="212" spans="1:15" ht="15" customHeight="1" x14ac:dyDescent="0.25">
      <c r="B212" s="269" t="s">
        <v>175</v>
      </c>
      <c r="C212" s="269"/>
      <c r="D212" s="269"/>
      <c r="E212" s="269"/>
      <c r="F212" s="269"/>
      <c r="G212" s="269"/>
      <c r="H212" s="269"/>
      <c r="I212" s="269"/>
      <c r="J212" s="269"/>
      <c r="K212" s="269"/>
      <c r="L212" s="269"/>
      <c r="M212" s="269"/>
    </row>
    <row r="213" spans="1:15" x14ac:dyDescent="0.25">
      <c r="B213" s="269"/>
      <c r="C213" s="269"/>
      <c r="D213" s="269"/>
      <c r="E213" s="269"/>
      <c r="F213" s="269"/>
      <c r="G213" s="269"/>
      <c r="H213" s="269"/>
      <c r="I213" s="269"/>
      <c r="J213" s="269"/>
      <c r="K213" s="269"/>
      <c r="L213" s="269"/>
      <c r="M213" s="269"/>
    </row>
    <row r="214" spans="1:15" x14ac:dyDescent="0.25">
      <c r="B214" s="343" t="s">
        <v>176</v>
      </c>
      <c r="C214" s="343"/>
      <c r="D214" s="343"/>
      <c r="E214" s="343"/>
      <c r="F214" s="343"/>
      <c r="G214" s="343"/>
      <c r="H214" s="343"/>
      <c r="I214" s="343"/>
      <c r="J214" s="343"/>
      <c r="K214" s="343"/>
      <c r="L214" s="343"/>
      <c r="M214" s="343"/>
    </row>
    <row r="215" spans="1:15" x14ac:dyDescent="0.25">
      <c r="B215" s="154" t="s">
        <v>240</v>
      </c>
    </row>
    <row r="216" spans="1:15" x14ac:dyDescent="0.25">
      <c r="B216" s="133"/>
      <c r="C216" s="135">
        <v>0</v>
      </c>
      <c r="D216" s="135">
        <f t="shared" ref="D216:N216" si="60">C216+1</f>
        <v>1</v>
      </c>
      <c r="E216" s="135">
        <f t="shared" si="60"/>
        <v>2</v>
      </c>
      <c r="F216" s="135">
        <f t="shared" si="60"/>
        <v>3</v>
      </c>
      <c r="G216" s="135">
        <f t="shared" si="60"/>
        <v>4</v>
      </c>
      <c r="H216" s="135">
        <f t="shared" si="60"/>
        <v>5</v>
      </c>
      <c r="I216" s="135">
        <f t="shared" si="60"/>
        <v>6</v>
      </c>
      <c r="J216" s="135">
        <f t="shared" si="60"/>
        <v>7</v>
      </c>
      <c r="K216" s="135">
        <f t="shared" si="60"/>
        <v>8</v>
      </c>
      <c r="L216" s="135">
        <f t="shared" si="60"/>
        <v>9</v>
      </c>
      <c r="M216" s="135">
        <f t="shared" si="60"/>
        <v>10</v>
      </c>
      <c r="N216" s="135">
        <f t="shared" si="60"/>
        <v>11</v>
      </c>
    </row>
    <row r="217" spans="1:15" s="13" customFormat="1" x14ac:dyDescent="0.25">
      <c r="A217" s="300" t="s">
        <v>19</v>
      </c>
      <c r="B217" s="132" t="s">
        <v>220</v>
      </c>
      <c r="C217" s="133"/>
      <c r="D217" s="133">
        <v>-7000000</v>
      </c>
      <c r="E217" s="133"/>
      <c r="F217" s="133"/>
      <c r="G217" s="133"/>
      <c r="H217" s="133"/>
      <c r="I217" s="133"/>
      <c r="J217" s="133"/>
      <c r="K217" s="133"/>
      <c r="L217" s="133"/>
      <c r="M217" s="133"/>
      <c r="N217" s="133"/>
    </row>
    <row r="218" spans="1:15" s="13" customFormat="1" x14ac:dyDescent="0.25">
      <c r="A218" s="300"/>
      <c r="B218" s="132" t="s">
        <v>223</v>
      </c>
      <c r="C218" s="133"/>
      <c r="D218" s="133"/>
      <c r="E218" s="133">
        <f t="shared" ref="E218:N218" si="61">-200000</f>
        <v>-200000</v>
      </c>
      <c r="F218" s="133">
        <f t="shared" si="61"/>
        <v>-200000</v>
      </c>
      <c r="G218" s="133">
        <f t="shared" si="61"/>
        <v>-200000</v>
      </c>
      <c r="H218" s="133">
        <f t="shared" si="61"/>
        <v>-200000</v>
      </c>
      <c r="I218" s="133">
        <f t="shared" si="61"/>
        <v>-200000</v>
      </c>
      <c r="J218" s="133">
        <f t="shared" si="61"/>
        <v>-200000</v>
      </c>
      <c r="K218" s="133">
        <f t="shared" si="61"/>
        <v>-200000</v>
      </c>
      <c r="L218" s="133">
        <f t="shared" si="61"/>
        <v>-200000</v>
      </c>
      <c r="M218" s="133">
        <f t="shared" si="61"/>
        <v>-200000</v>
      </c>
      <c r="N218" s="133">
        <f t="shared" si="61"/>
        <v>-200000</v>
      </c>
    </row>
    <row r="219" spans="1:15" s="13" customFormat="1" x14ac:dyDescent="0.25">
      <c r="A219" s="300" t="s">
        <v>20</v>
      </c>
      <c r="B219" s="133" t="s">
        <v>260</v>
      </c>
      <c r="C219" s="133">
        <v>500000</v>
      </c>
      <c r="D219" s="133"/>
      <c r="E219" s="133"/>
      <c r="F219" s="133"/>
      <c r="G219" s="133"/>
      <c r="H219" s="133"/>
      <c r="I219" s="133"/>
      <c r="J219" s="133"/>
      <c r="K219" s="133"/>
      <c r="L219" s="133"/>
      <c r="M219" s="133"/>
      <c r="N219" s="133"/>
    </row>
    <row r="220" spans="1:15" s="13" customFormat="1" x14ac:dyDescent="0.25">
      <c r="A220" s="300"/>
      <c r="B220" s="133" t="s">
        <v>261</v>
      </c>
      <c r="C220" s="133"/>
      <c r="D220" s="133"/>
      <c r="E220" s="133">
        <f t="shared" ref="E220:N220" si="62">1000000</f>
        <v>1000000</v>
      </c>
      <c r="F220" s="133">
        <f t="shared" si="62"/>
        <v>1000000</v>
      </c>
      <c r="G220" s="133">
        <f t="shared" si="62"/>
        <v>1000000</v>
      </c>
      <c r="H220" s="133">
        <f t="shared" si="62"/>
        <v>1000000</v>
      </c>
      <c r="I220" s="133">
        <f t="shared" si="62"/>
        <v>1000000</v>
      </c>
      <c r="J220" s="133">
        <f t="shared" si="62"/>
        <v>1000000</v>
      </c>
      <c r="K220" s="133">
        <f t="shared" si="62"/>
        <v>1000000</v>
      </c>
      <c r="L220" s="133">
        <f t="shared" si="62"/>
        <v>1000000</v>
      </c>
      <c r="M220" s="133">
        <f t="shared" si="62"/>
        <v>1000000</v>
      </c>
      <c r="N220" s="133">
        <f t="shared" si="62"/>
        <v>1000000</v>
      </c>
    </row>
    <row r="221" spans="1:15" s="13" customFormat="1" x14ac:dyDescent="0.25">
      <c r="A221" s="204"/>
      <c r="B221" s="145" t="s">
        <v>50</v>
      </c>
      <c r="C221" s="133">
        <f>SUM(C217:C220)</f>
        <v>500000</v>
      </c>
      <c r="D221" s="133">
        <f t="shared" ref="D221:N221" si="63">SUM(D217:D220)</f>
        <v>-7000000</v>
      </c>
      <c r="E221" s="133">
        <f t="shared" si="63"/>
        <v>800000</v>
      </c>
      <c r="F221" s="133">
        <f t="shared" si="63"/>
        <v>800000</v>
      </c>
      <c r="G221" s="133">
        <f t="shared" si="63"/>
        <v>800000</v>
      </c>
      <c r="H221" s="133">
        <f t="shared" si="63"/>
        <v>800000</v>
      </c>
      <c r="I221" s="133">
        <f t="shared" si="63"/>
        <v>800000</v>
      </c>
      <c r="J221" s="133">
        <f t="shared" si="63"/>
        <v>800000</v>
      </c>
      <c r="K221" s="133">
        <f t="shared" si="63"/>
        <v>800000</v>
      </c>
      <c r="L221" s="133">
        <f t="shared" si="63"/>
        <v>800000</v>
      </c>
      <c r="M221" s="133">
        <f t="shared" si="63"/>
        <v>800000</v>
      </c>
      <c r="N221" s="133">
        <f t="shared" si="63"/>
        <v>800000</v>
      </c>
      <c r="O221" s="187">
        <f>SUM(C221:N221)</f>
        <v>1500000</v>
      </c>
    </row>
    <row r="222" spans="1:15" s="13" customFormat="1" x14ac:dyDescent="0.25">
      <c r="A222" s="205"/>
      <c r="B222" s="205"/>
      <c r="C222" s="76"/>
      <c r="D222" s="76"/>
      <c r="E222" s="76"/>
      <c r="F222" s="76"/>
      <c r="G222" s="76"/>
      <c r="H222" s="76"/>
      <c r="I222" s="76"/>
      <c r="J222" s="76"/>
      <c r="K222" s="76"/>
      <c r="L222" s="76"/>
      <c r="M222" s="76"/>
    </row>
    <row r="223" spans="1:15" s="13" customFormat="1" x14ac:dyDescent="0.25">
      <c r="A223" s="106"/>
      <c r="B223" s="106" t="s">
        <v>262</v>
      </c>
      <c r="C223" s="135">
        <v>0</v>
      </c>
      <c r="D223" s="135">
        <f t="shared" ref="D223:N223" si="64">C223+1</f>
        <v>1</v>
      </c>
      <c r="E223" s="135">
        <f t="shared" si="64"/>
        <v>2</v>
      </c>
      <c r="F223" s="135">
        <f t="shared" si="64"/>
        <v>3</v>
      </c>
      <c r="G223" s="135">
        <f t="shared" si="64"/>
        <v>4</v>
      </c>
      <c r="H223" s="135">
        <f t="shared" si="64"/>
        <v>5</v>
      </c>
      <c r="I223" s="135">
        <f t="shared" si="64"/>
        <v>6</v>
      </c>
      <c r="J223" s="135">
        <f t="shared" si="64"/>
        <v>7</v>
      </c>
      <c r="K223" s="135">
        <f t="shared" si="64"/>
        <v>8</v>
      </c>
      <c r="L223" s="135">
        <f t="shared" si="64"/>
        <v>9</v>
      </c>
      <c r="M223" s="135">
        <f t="shared" si="64"/>
        <v>10</v>
      </c>
      <c r="N223" s="135">
        <f t="shared" si="64"/>
        <v>11</v>
      </c>
    </row>
    <row r="224" spans="1:15" s="13" customFormat="1" x14ac:dyDescent="0.25">
      <c r="A224" s="301" t="s">
        <v>263</v>
      </c>
      <c r="B224" s="134" t="s">
        <v>220</v>
      </c>
      <c r="C224" s="133">
        <f>D217*0.5</f>
        <v>-3500000</v>
      </c>
      <c r="D224" s="133">
        <f>D217*0.5</f>
        <v>-3500000</v>
      </c>
      <c r="E224" s="133"/>
      <c r="F224" s="133"/>
      <c r="G224" s="133"/>
      <c r="H224" s="133"/>
      <c r="I224" s="133"/>
      <c r="J224" s="133"/>
      <c r="K224" s="133"/>
      <c r="L224" s="133"/>
      <c r="M224" s="133"/>
      <c r="N224" s="133"/>
    </row>
    <row r="225" spans="1:15" s="13" customFormat="1" x14ac:dyDescent="0.25">
      <c r="A225" s="301"/>
      <c r="B225" s="134" t="s">
        <v>223</v>
      </c>
      <c r="C225" s="133"/>
      <c r="D225" s="133">
        <f>(D218*0.5)+(E218*0.5)</f>
        <v>-100000</v>
      </c>
      <c r="E225" s="133">
        <f>(E218*0.5)+(F218*0.5)</f>
        <v>-200000</v>
      </c>
      <c r="F225" s="133">
        <f t="shared" ref="F225:N225" si="65">(F218*0.5)+(G218*0.5)</f>
        <v>-200000</v>
      </c>
      <c r="G225" s="133">
        <f t="shared" si="65"/>
        <v>-200000</v>
      </c>
      <c r="H225" s="133">
        <f t="shared" si="65"/>
        <v>-200000</v>
      </c>
      <c r="I225" s="133">
        <f t="shared" si="65"/>
        <v>-200000</v>
      </c>
      <c r="J225" s="133">
        <f t="shared" si="65"/>
        <v>-200000</v>
      </c>
      <c r="K225" s="133">
        <f t="shared" si="65"/>
        <v>-200000</v>
      </c>
      <c r="L225" s="133">
        <f t="shared" si="65"/>
        <v>-200000</v>
      </c>
      <c r="M225" s="133">
        <f t="shared" si="65"/>
        <v>-200000</v>
      </c>
      <c r="N225" s="133">
        <f t="shared" si="65"/>
        <v>-100000</v>
      </c>
    </row>
    <row r="226" spans="1:15" s="13" customFormat="1" x14ac:dyDescent="0.25">
      <c r="A226" s="301" t="s">
        <v>216</v>
      </c>
      <c r="B226" s="131" t="s">
        <v>260</v>
      </c>
      <c r="C226" s="133">
        <f>C219</f>
        <v>500000</v>
      </c>
      <c r="D226" s="133"/>
      <c r="E226" s="133"/>
      <c r="F226" s="133"/>
      <c r="G226" s="133"/>
      <c r="H226" s="133"/>
      <c r="I226" s="133"/>
      <c r="J226" s="133"/>
      <c r="K226" s="133"/>
      <c r="L226" s="133"/>
      <c r="M226" s="133"/>
      <c r="N226" s="1"/>
    </row>
    <row r="227" spans="1:15" s="13" customFormat="1" x14ac:dyDescent="0.25">
      <c r="A227" s="301"/>
      <c r="B227" s="131" t="s">
        <v>261</v>
      </c>
      <c r="C227" s="184"/>
      <c r="D227" s="133">
        <f>(D220*0.5)+(E220*0.5)</f>
        <v>500000</v>
      </c>
      <c r="E227" s="133">
        <f t="shared" ref="E227:N227" si="66">(E220*0.5)+(F220*0.5)</f>
        <v>1000000</v>
      </c>
      <c r="F227" s="133">
        <f t="shared" si="66"/>
        <v>1000000</v>
      </c>
      <c r="G227" s="133">
        <f t="shared" si="66"/>
        <v>1000000</v>
      </c>
      <c r="H227" s="133">
        <f t="shared" si="66"/>
        <v>1000000</v>
      </c>
      <c r="I227" s="133">
        <f t="shared" si="66"/>
        <v>1000000</v>
      </c>
      <c r="J227" s="133">
        <f t="shared" si="66"/>
        <v>1000000</v>
      </c>
      <c r="K227" s="133">
        <f t="shared" si="66"/>
        <v>1000000</v>
      </c>
      <c r="L227" s="133">
        <f t="shared" si="66"/>
        <v>1000000</v>
      </c>
      <c r="M227" s="133">
        <f t="shared" si="66"/>
        <v>1000000</v>
      </c>
      <c r="N227" s="133">
        <f t="shared" si="66"/>
        <v>500000</v>
      </c>
    </row>
    <row r="228" spans="1:15" x14ac:dyDescent="0.25">
      <c r="B228" s="145" t="s">
        <v>226</v>
      </c>
      <c r="C228" s="133">
        <f>SUM(C224:C227)</f>
        <v>-3000000</v>
      </c>
      <c r="D228" s="133">
        <f t="shared" ref="D228:N228" si="67">SUM(D224:D227)</f>
        <v>-3100000</v>
      </c>
      <c r="E228" s="133">
        <f t="shared" si="67"/>
        <v>800000</v>
      </c>
      <c r="F228" s="133">
        <f t="shared" si="67"/>
        <v>800000</v>
      </c>
      <c r="G228" s="133">
        <f t="shared" si="67"/>
        <v>800000</v>
      </c>
      <c r="H228" s="133">
        <f t="shared" si="67"/>
        <v>800000</v>
      </c>
      <c r="I228" s="133">
        <f t="shared" si="67"/>
        <v>800000</v>
      </c>
      <c r="J228" s="133">
        <f t="shared" si="67"/>
        <v>800000</v>
      </c>
      <c r="K228" s="133">
        <f t="shared" si="67"/>
        <v>800000</v>
      </c>
      <c r="L228" s="133">
        <f t="shared" si="67"/>
        <v>800000</v>
      </c>
      <c r="M228" s="133">
        <f t="shared" si="67"/>
        <v>800000</v>
      </c>
      <c r="N228" s="133">
        <f t="shared" si="67"/>
        <v>400000</v>
      </c>
      <c r="O228" s="88">
        <f>SUM(C228:N228)</f>
        <v>1500000</v>
      </c>
    </row>
    <row r="229" spans="1:15" x14ac:dyDescent="0.25">
      <c r="B229" s="88"/>
      <c r="C229" s="76"/>
      <c r="D229" s="76"/>
      <c r="E229" s="76"/>
      <c r="F229" s="76"/>
      <c r="G229" s="76"/>
      <c r="H229" s="76"/>
      <c r="I229" s="76"/>
      <c r="J229" s="76"/>
      <c r="K229" s="76"/>
      <c r="L229" s="76"/>
      <c r="M229" s="76"/>
      <c r="N229" s="76"/>
      <c r="O229" s="88"/>
    </row>
    <row r="230" spans="1:15" x14ac:dyDescent="0.25">
      <c r="B230" s="88"/>
      <c r="C230" s="202" t="s">
        <v>58</v>
      </c>
      <c r="D230" s="206">
        <f>IRR(C228:N228)</f>
        <v>3.9953863618317653E-2</v>
      </c>
      <c r="E230" s="76"/>
      <c r="F230" s="76"/>
      <c r="G230" s="76"/>
      <c r="H230" s="76"/>
      <c r="I230" s="76"/>
      <c r="J230" s="76"/>
      <c r="K230" s="76"/>
      <c r="L230" s="76"/>
      <c r="M230" s="76"/>
      <c r="N230" s="76"/>
      <c r="O230" s="88"/>
    </row>
    <row r="231" spans="1:15" x14ac:dyDescent="0.25">
      <c r="B231" s="88"/>
      <c r="C231" s="76"/>
      <c r="D231" s="76"/>
      <c r="E231" s="76"/>
      <c r="F231" s="76"/>
      <c r="G231" s="76"/>
      <c r="H231" s="76"/>
      <c r="I231" s="76"/>
      <c r="J231" s="76"/>
      <c r="K231" s="76"/>
      <c r="L231" s="76"/>
      <c r="M231" s="76"/>
    </row>
    <row r="232" spans="1:15" x14ac:dyDescent="0.25">
      <c r="B232" s="154" t="s">
        <v>241</v>
      </c>
    </row>
    <row r="233" spans="1:15" x14ac:dyDescent="0.25">
      <c r="B233" s="133"/>
      <c r="C233" s="135">
        <v>0</v>
      </c>
      <c r="D233" s="135">
        <f t="shared" ref="D233:N233" si="68">C233+1</f>
        <v>1</v>
      </c>
      <c r="E233" s="135">
        <f t="shared" si="68"/>
        <v>2</v>
      </c>
      <c r="F233" s="135">
        <f t="shared" si="68"/>
        <v>3</v>
      </c>
      <c r="G233" s="135">
        <f t="shared" si="68"/>
        <v>4</v>
      </c>
      <c r="H233" s="135">
        <f t="shared" si="68"/>
        <v>5</v>
      </c>
      <c r="I233" s="135">
        <f t="shared" si="68"/>
        <v>6</v>
      </c>
      <c r="J233" s="135">
        <f t="shared" si="68"/>
        <v>7</v>
      </c>
      <c r="K233" s="135">
        <f t="shared" si="68"/>
        <v>8</v>
      </c>
      <c r="L233" s="135">
        <f t="shared" si="68"/>
        <v>9</v>
      </c>
      <c r="M233" s="135">
        <f t="shared" si="68"/>
        <v>10</v>
      </c>
      <c r="N233" s="135">
        <f t="shared" si="68"/>
        <v>11</v>
      </c>
    </row>
    <row r="234" spans="1:15" x14ac:dyDescent="0.25">
      <c r="A234" s="300" t="s">
        <v>19</v>
      </c>
      <c r="B234" s="132" t="s">
        <v>220</v>
      </c>
      <c r="C234" s="133"/>
      <c r="D234" s="133">
        <v>-5500000</v>
      </c>
      <c r="E234" s="133"/>
      <c r="F234" s="133"/>
      <c r="G234" s="133">
        <f>-1000000</f>
        <v>-1000000</v>
      </c>
      <c r="H234" s="133"/>
      <c r="I234" s="133"/>
      <c r="J234" s="133"/>
      <c r="K234" s="133"/>
      <c r="L234" s="133"/>
      <c r="M234" s="133"/>
      <c r="N234" s="133"/>
      <c r="O234" s="13"/>
    </row>
    <row r="235" spans="1:15" x14ac:dyDescent="0.25">
      <c r="A235" s="300"/>
      <c r="B235" s="132" t="s">
        <v>223</v>
      </c>
      <c r="C235" s="133"/>
      <c r="D235" s="133"/>
      <c r="E235" s="133">
        <f>-300000</f>
        <v>-300000</v>
      </c>
      <c r="F235" s="133">
        <f t="shared" ref="F235:N235" si="69">-300000</f>
        <v>-300000</v>
      </c>
      <c r="G235" s="133">
        <f t="shared" si="69"/>
        <v>-300000</v>
      </c>
      <c r="H235" s="133">
        <f t="shared" si="69"/>
        <v>-300000</v>
      </c>
      <c r="I235" s="133">
        <f t="shared" si="69"/>
        <v>-300000</v>
      </c>
      <c r="J235" s="133">
        <f t="shared" si="69"/>
        <v>-300000</v>
      </c>
      <c r="K235" s="133">
        <f t="shared" si="69"/>
        <v>-300000</v>
      </c>
      <c r="L235" s="133">
        <f t="shared" si="69"/>
        <v>-300000</v>
      </c>
      <c r="M235" s="133">
        <f t="shared" si="69"/>
        <v>-300000</v>
      </c>
      <c r="N235" s="133">
        <f t="shared" si="69"/>
        <v>-300000</v>
      </c>
      <c r="O235" s="13"/>
    </row>
    <row r="236" spans="1:15" x14ac:dyDescent="0.25">
      <c r="A236" s="208" t="s">
        <v>20</v>
      </c>
      <c r="B236" s="133" t="s">
        <v>261</v>
      </c>
      <c r="C236" s="133"/>
      <c r="D236" s="133"/>
      <c r="E236" s="133">
        <f t="shared" ref="E236:N236" si="70">1000000</f>
        <v>1000000</v>
      </c>
      <c r="F236" s="133">
        <f t="shared" si="70"/>
        <v>1000000</v>
      </c>
      <c r="G236" s="133">
        <f t="shared" si="70"/>
        <v>1000000</v>
      </c>
      <c r="H236" s="133">
        <f t="shared" si="70"/>
        <v>1000000</v>
      </c>
      <c r="I236" s="133">
        <f t="shared" si="70"/>
        <v>1000000</v>
      </c>
      <c r="J236" s="133">
        <f t="shared" si="70"/>
        <v>1000000</v>
      </c>
      <c r="K236" s="133">
        <f t="shared" si="70"/>
        <v>1000000</v>
      </c>
      <c r="L236" s="133">
        <f t="shared" si="70"/>
        <v>1000000</v>
      </c>
      <c r="M236" s="133">
        <f t="shared" si="70"/>
        <v>1000000</v>
      </c>
      <c r="N236" s="133">
        <f t="shared" si="70"/>
        <v>1000000</v>
      </c>
      <c r="O236" s="13"/>
    </row>
    <row r="237" spans="1:15" x14ac:dyDescent="0.25">
      <c r="A237" s="204"/>
      <c r="B237" s="145" t="s">
        <v>50</v>
      </c>
      <c r="C237" s="133">
        <f t="shared" ref="C237:N237" si="71">SUM(C234:C236)</f>
        <v>0</v>
      </c>
      <c r="D237" s="133">
        <f t="shared" si="71"/>
        <v>-5500000</v>
      </c>
      <c r="E237" s="133">
        <f t="shared" si="71"/>
        <v>700000</v>
      </c>
      <c r="F237" s="133">
        <f t="shared" si="71"/>
        <v>700000</v>
      </c>
      <c r="G237" s="133">
        <f t="shared" si="71"/>
        <v>-300000</v>
      </c>
      <c r="H237" s="133">
        <f t="shared" si="71"/>
        <v>700000</v>
      </c>
      <c r="I237" s="133">
        <f t="shared" si="71"/>
        <v>700000</v>
      </c>
      <c r="J237" s="133">
        <f t="shared" si="71"/>
        <v>700000</v>
      </c>
      <c r="K237" s="133">
        <f t="shared" si="71"/>
        <v>700000</v>
      </c>
      <c r="L237" s="133">
        <f t="shared" si="71"/>
        <v>700000</v>
      </c>
      <c r="M237" s="133">
        <f t="shared" si="71"/>
        <v>700000</v>
      </c>
      <c r="N237" s="133">
        <f t="shared" si="71"/>
        <v>700000</v>
      </c>
      <c r="O237" s="187">
        <f>SUM(C237:N237)</f>
        <v>500000</v>
      </c>
    </row>
    <row r="238" spans="1:15" x14ac:dyDescent="0.25">
      <c r="A238" s="205"/>
      <c r="B238" s="205"/>
      <c r="C238" s="76"/>
      <c r="D238" s="76"/>
      <c r="E238" s="76"/>
      <c r="F238" s="76"/>
      <c r="G238" s="76"/>
      <c r="H238" s="76"/>
      <c r="I238" s="76"/>
      <c r="J238" s="76"/>
      <c r="K238" s="76"/>
      <c r="L238" s="76"/>
      <c r="M238" s="76"/>
      <c r="N238" s="13"/>
      <c r="O238" s="13"/>
    </row>
    <row r="239" spans="1:15" x14ac:dyDescent="0.25">
      <c r="A239" s="106"/>
      <c r="B239" s="106" t="s">
        <v>262</v>
      </c>
      <c r="C239" s="135">
        <v>0</v>
      </c>
      <c r="D239" s="135">
        <f t="shared" ref="D239:N239" si="72">C239+1</f>
        <v>1</v>
      </c>
      <c r="E239" s="135">
        <f t="shared" si="72"/>
        <v>2</v>
      </c>
      <c r="F239" s="135">
        <f t="shared" si="72"/>
        <v>3</v>
      </c>
      <c r="G239" s="135">
        <f t="shared" si="72"/>
        <v>4</v>
      </c>
      <c r="H239" s="135">
        <f t="shared" si="72"/>
        <v>5</v>
      </c>
      <c r="I239" s="135">
        <f t="shared" si="72"/>
        <v>6</v>
      </c>
      <c r="J239" s="135">
        <f t="shared" si="72"/>
        <v>7</v>
      </c>
      <c r="K239" s="135">
        <f t="shared" si="72"/>
        <v>8</v>
      </c>
      <c r="L239" s="135">
        <f t="shared" si="72"/>
        <v>9</v>
      </c>
      <c r="M239" s="135">
        <f t="shared" si="72"/>
        <v>10</v>
      </c>
      <c r="N239" s="135">
        <f t="shared" si="72"/>
        <v>11</v>
      </c>
      <c r="O239" s="13"/>
    </row>
    <row r="240" spans="1:15" x14ac:dyDescent="0.25">
      <c r="A240" s="301" t="s">
        <v>263</v>
      </c>
      <c r="B240" s="134" t="s">
        <v>220</v>
      </c>
      <c r="C240" s="133">
        <f>D234*0.5</f>
        <v>-2750000</v>
      </c>
      <c r="D240" s="133">
        <f>D234*0.5</f>
        <v>-2750000</v>
      </c>
      <c r="E240" s="133"/>
      <c r="F240" s="133">
        <f>G234*0.5</f>
        <v>-500000</v>
      </c>
      <c r="G240" s="133">
        <f>G234*0.5</f>
        <v>-500000</v>
      </c>
      <c r="H240" s="133"/>
      <c r="I240" s="133"/>
      <c r="J240" s="133"/>
      <c r="K240" s="133"/>
      <c r="L240" s="133"/>
      <c r="M240" s="133"/>
      <c r="N240" s="133"/>
      <c r="O240" s="13"/>
    </row>
    <row r="241" spans="1:18" x14ac:dyDescent="0.25">
      <c r="A241" s="301"/>
      <c r="B241" s="134" t="s">
        <v>223</v>
      </c>
      <c r="C241" s="133"/>
      <c r="D241" s="133">
        <f t="shared" ref="D241:N241" si="73">(D235*0.5)+(E235*0.5)</f>
        <v>-150000</v>
      </c>
      <c r="E241" s="133">
        <f t="shared" si="73"/>
        <v>-300000</v>
      </c>
      <c r="F241" s="133">
        <f t="shared" si="73"/>
        <v>-300000</v>
      </c>
      <c r="G241" s="133">
        <f t="shared" si="73"/>
        <v>-300000</v>
      </c>
      <c r="H241" s="133">
        <f t="shared" si="73"/>
        <v>-300000</v>
      </c>
      <c r="I241" s="133">
        <f t="shared" si="73"/>
        <v>-300000</v>
      </c>
      <c r="J241" s="133">
        <f t="shared" si="73"/>
        <v>-300000</v>
      </c>
      <c r="K241" s="133">
        <f t="shared" si="73"/>
        <v>-300000</v>
      </c>
      <c r="L241" s="133">
        <f t="shared" si="73"/>
        <v>-300000</v>
      </c>
      <c r="M241" s="133">
        <f t="shared" si="73"/>
        <v>-300000</v>
      </c>
      <c r="N241" s="133">
        <f t="shared" si="73"/>
        <v>-150000</v>
      </c>
      <c r="O241" s="13"/>
    </row>
    <row r="242" spans="1:18" x14ac:dyDescent="0.25">
      <c r="A242" s="4" t="s">
        <v>264</v>
      </c>
      <c r="B242" s="131" t="s">
        <v>261</v>
      </c>
      <c r="C242" s="184"/>
      <c r="D242" s="133">
        <f t="shared" ref="D242:N242" si="74">(D236*0.5)+(E236*0.5)</f>
        <v>500000</v>
      </c>
      <c r="E242" s="133">
        <f t="shared" si="74"/>
        <v>1000000</v>
      </c>
      <c r="F242" s="133">
        <f t="shared" si="74"/>
        <v>1000000</v>
      </c>
      <c r="G242" s="133">
        <f t="shared" si="74"/>
        <v>1000000</v>
      </c>
      <c r="H242" s="133">
        <f t="shared" si="74"/>
        <v>1000000</v>
      </c>
      <c r="I242" s="133">
        <f t="shared" si="74"/>
        <v>1000000</v>
      </c>
      <c r="J242" s="133">
        <f t="shared" si="74"/>
        <v>1000000</v>
      </c>
      <c r="K242" s="133">
        <f t="shared" si="74"/>
        <v>1000000</v>
      </c>
      <c r="L242" s="133">
        <f t="shared" si="74"/>
        <v>1000000</v>
      </c>
      <c r="M242" s="133">
        <f t="shared" si="74"/>
        <v>1000000</v>
      </c>
      <c r="N242" s="133">
        <f t="shared" si="74"/>
        <v>500000</v>
      </c>
      <c r="O242" s="13"/>
    </row>
    <row r="243" spans="1:18" x14ac:dyDescent="0.25">
      <c r="B243" s="145" t="s">
        <v>226</v>
      </c>
      <c r="C243" s="133">
        <f>SUM(C240:C242)</f>
        <v>-2750000</v>
      </c>
      <c r="D243" s="133">
        <f t="shared" ref="D243:N243" si="75">SUM(D240:D242)</f>
        <v>-2400000</v>
      </c>
      <c r="E243" s="133">
        <f t="shared" si="75"/>
        <v>700000</v>
      </c>
      <c r="F243" s="133">
        <f t="shared" si="75"/>
        <v>200000</v>
      </c>
      <c r="G243" s="133">
        <f t="shared" si="75"/>
        <v>200000</v>
      </c>
      <c r="H243" s="133">
        <f t="shared" si="75"/>
        <v>700000</v>
      </c>
      <c r="I243" s="133">
        <f t="shared" si="75"/>
        <v>700000</v>
      </c>
      <c r="J243" s="133">
        <f t="shared" si="75"/>
        <v>700000</v>
      </c>
      <c r="K243" s="133">
        <f t="shared" si="75"/>
        <v>700000</v>
      </c>
      <c r="L243" s="133">
        <f t="shared" si="75"/>
        <v>700000</v>
      </c>
      <c r="M243" s="133">
        <f t="shared" si="75"/>
        <v>700000</v>
      </c>
      <c r="N243" s="133">
        <f t="shared" si="75"/>
        <v>350000</v>
      </c>
      <c r="O243" s="88">
        <f>SUM(C243:N243)</f>
        <v>500000</v>
      </c>
    </row>
    <row r="244" spans="1:18" x14ac:dyDescent="0.25">
      <c r="A244" s="13"/>
      <c r="B244" s="207"/>
      <c r="C244" s="77"/>
      <c r="D244" s="76"/>
      <c r="E244" s="76"/>
      <c r="F244" s="76"/>
      <c r="G244" s="76"/>
      <c r="H244" s="76"/>
      <c r="I244" s="76"/>
      <c r="J244" s="76"/>
      <c r="K244" s="76"/>
      <c r="L244" s="76"/>
      <c r="M244" s="76"/>
    </row>
    <row r="245" spans="1:18" x14ac:dyDescent="0.25">
      <c r="A245" s="13"/>
      <c r="B245" s="88"/>
      <c r="C245" s="202" t="s">
        <v>58</v>
      </c>
      <c r="D245" s="206">
        <f>IRR(C243:N243)</f>
        <v>1.4974891738866125E-2</v>
      </c>
      <c r="E245" s="189"/>
      <c r="F245" s="189"/>
      <c r="G245" s="189"/>
      <c r="H245" s="189"/>
      <c r="I245" s="189"/>
      <c r="J245" s="189"/>
      <c r="K245" s="189"/>
      <c r="L245" s="189"/>
      <c r="M245" s="189"/>
    </row>
    <row r="246" spans="1:18" x14ac:dyDescent="0.25">
      <c r="A246" s="13"/>
      <c r="B246" s="88"/>
      <c r="C246" s="77"/>
      <c r="D246" s="76"/>
      <c r="E246" s="76"/>
      <c r="F246" s="76"/>
      <c r="G246" s="76"/>
      <c r="H246" s="76"/>
      <c r="I246" s="76"/>
      <c r="J246" s="76"/>
      <c r="K246" s="76"/>
      <c r="L246" s="76"/>
      <c r="M246" s="76"/>
    </row>
    <row r="247" spans="1:18" x14ac:dyDescent="0.25">
      <c r="A247" s="13"/>
      <c r="B247" s="171" t="s">
        <v>135</v>
      </c>
      <c r="C247" s="40" t="s">
        <v>265</v>
      </c>
      <c r="D247" s="40" t="s">
        <v>58</v>
      </c>
      <c r="E247" s="209">
        <f>$D$230</f>
        <v>3.9953863618317653E-2</v>
      </c>
      <c r="F247" s="188"/>
      <c r="G247" s="302" t="s">
        <v>266</v>
      </c>
      <c r="H247" s="302"/>
      <c r="I247" s="302"/>
      <c r="J247" s="302"/>
      <c r="K247" s="302"/>
      <c r="L247" s="302"/>
      <c r="M247" s="76"/>
    </row>
    <row r="248" spans="1:18" x14ac:dyDescent="0.25">
      <c r="A248" s="13"/>
      <c r="B248" s="88"/>
      <c r="C248" s="40" t="s">
        <v>241</v>
      </c>
      <c r="D248" s="40" t="s">
        <v>58</v>
      </c>
      <c r="E248" s="209">
        <f>$D$245</f>
        <v>1.4974891738866125E-2</v>
      </c>
      <c r="F248" s="188"/>
      <c r="G248" s="302" t="s">
        <v>267</v>
      </c>
      <c r="H248" s="302"/>
      <c r="I248" s="302"/>
      <c r="J248" s="302"/>
      <c r="K248" s="302"/>
      <c r="L248" s="302"/>
      <c r="M248" s="210"/>
      <c r="N248" s="210"/>
      <c r="O248" s="210"/>
      <c r="P248" s="210"/>
      <c r="Q248" s="210"/>
      <c r="R248" s="210"/>
    </row>
    <row r="249" spans="1:18" x14ac:dyDescent="0.25">
      <c r="B249" s="88"/>
      <c r="C249" s="76"/>
      <c r="D249" s="76"/>
      <c r="E249" s="76"/>
      <c r="F249" s="76"/>
      <c r="G249" s="76"/>
      <c r="H249" s="76"/>
      <c r="I249" s="76"/>
      <c r="J249" s="76"/>
      <c r="K249" s="76"/>
      <c r="L249" s="76"/>
      <c r="M249" s="76"/>
    </row>
    <row r="250" spans="1:18" ht="15" customHeight="1" x14ac:dyDescent="0.25">
      <c r="A250" s="114" t="s">
        <v>177</v>
      </c>
      <c r="B250" s="269" t="s">
        <v>178</v>
      </c>
      <c r="C250" s="269"/>
      <c r="D250" s="269"/>
      <c r="E250" s="269"/>
      <c r="F250" s="269"/>
      <c r="G250" s="269"/>
      <c r="H250" s="269"/>
      <c r="I250" s="269"/>
      <c r="J250" s="269"/>
      <c r="K250" s="269"/>
      <c r="L250" s="269"/>
      <c r="M250" s="269"/>
    </row>
    <row r="251" spans="1:18" x14ac:dyDescent="0.25">
      <c r="B251" s="269"/>
      <c r="C251" s="269"/>
      <c r="D251" s="269"/>
      <c r="E251" s="269"/>
      <c r="F251" s="269"/>
      <c r="G251" s="269"/>
      <c r="H251" s="269"/>
      <c r="I251" s="269"/>
      <c r="J251" s="269"/>
      <c r="K251" s="269"/>
      <c r="L251" s="269"/>
      <c r="M251" s="269"/>
    </row>
    <row r="252" spans="1:18" x14ac:dyDescent="0.25">
      <c r="B252" s="267" t="s">
        <v>180</v>
      </c>
      <c r="C252" s="267"/>
      <c r="D252" s="267"/>
      <c r="E252" s="267"/>
      <c r="F252" s="267"/>
      <c r="G252" s="267"/>
      <c r="H252" s="267"/>
      <c r="I252" s="267"/>
      <c r="J252" s="267"/>
      <c r="K252" s="267"/>
      <c r="L252" s="267"/>
      <c r="M252" s="267"/>
    </row>
    <row r="253" spans="1:18" ht="15" customHeight="1" x14ac:dyDescent="0.25">
      <c r="B253" s="269" t="s">
        <v>181</v>
      </c>
      <c r="C253" s="269"/>
      <c r="D253" s="269"/>
      <c r="E253" s="269"/>
      <c r="F253" s="269"/>
      <c r="G253" s="269"/>
      <c r="H253" s="269"/>
      <c r="I253" s="269"/>
      <c r="J253" s="269"/>
      <c r="K253" s="269"/>
      <c r="L253" s="269"/>
      <c r="M253" s="269"/>
    </row>
    <row r="254" spans="1:18" x14ac:dyDescent="0.25">
      <c r="B254" s="269"/>
      <c r="C254" s="269"/>
      <c r="D254" s="269"/>
      <c r="E254" s="269"/>
      <c r="F254" s="269"/>
      <c r="G254" s="269"/>
      <c r="H254" s="269"/>
      <c r="I254" s="269"/>
      <c r="J254" s="269"/>
      <c r="K254" s="269"/>
      <c r="L254" s="269"/>
      <c r="M254" s="269"/>
    </row>
    <row r="255" spans="1:18" ht="15" customHeight="1" x14ac:dyDescent="0.25">
      <c r="B255" s="308" t="s">
        <v>179</v>
      </c>
      <c r="C255" s="308"/>
      <c r="D255" s="308"/>
      <c r="E255" s="308"/>
      <c r="F255" s="308"/>
      <c r="G255" s="308"/>
      <c r="H255" s="308"/>
      <c r="I255" s="308"/>
      <c r="J255" s="308"/>
      <c r="K255" s="308"/>
      <c r="L255" s="308"/>
      <c r="M255" s="308"/>
    </row>
    <row r="256" spans="1:18" x14ac:dyDescent="0.25">
      <c r="B256" s="308"/>
      <c r="C256" s="308"/>
      <c r="D256" s="308"/>
      <c r="E256" s="308"/>
      <c r="F256" s="308"/>
      <c r="G256" s="308"/>
      <c r="H256" s="308"/>
      <c r="I256" s="308"/>
      <c r="J256" s="308"/>
      <c r="K256" s="308"/>
      <c r="L256" s="308"/>
      <c r="M256" s="308"/>
    </row>
    <row r="257" spans="1:14" x14ac:dyDescent="0.25">
      <c r="B257" s="211" t="s">
        <v>306</v>
      </c>
      <c r="C257" s="244">
        <f>7000000</f>
        <v>7000000</v>
      </c>
    </row>
    <row r="258" spans="1:14" x14ac:dyDescent="0.25">
      <c r="B258" s="132" t="s">
        <v>242</v>
      </c>
      <c r="C258" s="246">
        <v>0.12</v>
      </c>
      <c r="D258" s="215" t="s">
        <v>204</v>
      </c>
      <c r="F258" s="284" t="s">
        <v>270</v>
      </c>
      <c r="G258" s="284"/>
      <c r="H258" s="212" t="s">
        <v>272</v>
      </c>
      <c r="L258">
        <f>(C258+1)^(18/12)</f>
        <v>1.1852965873569368</v>
      </c>
    </row>
    <row r="259" spans="1:14" x14ac:dyDescent="0.25">
      <c r="B259" s="185"/>
      <c r="C259" s="77"/>
      <c r="D259" s="76"/>
      <c r="F259" s="284" t="s">
        <v>112</v>
      </c>
      <c r="G259" s="284"/>
      <c r="H259" s="212" t="s">
        <v>113</v>
      </c>
      <c r="J259" s="310" t="s">
        <v>311</v>
      </c>
      <c r="K259" s="311"/>
      <c r="L259" s="153">
        <f>L258-1</f>
        <v>0.18529658735693677</v>
      </c>
    </row>
    <row r="260" spans="1:14" x14ac:dyDescent="0.25">
      <c r="C260" s="191"/>
      <c r="F260" s="305" t="s">
        <v>271</v>
      </c>
      <c r="G260" s="305"/>
      <c r="H260" s="203">
        <f>C257*(1+C258)^(12/12)</f>
        <v>7840000.0000000009</v>
      </c>
      <c r="L260" s="245">
        <f>C257*(1+L259)^(12/12)</f>
        <v>8297076.111498557</v>
      </c>
    </row>
    <row r="261" spans="1:14" x14ac:dyDescent="0.25">
      <c r="B261" s="132" t="s">
        <v>243</v>
      </c>
      <c r="C261" s="191"/>
    </row>
    <row r="262" spans="1:14" x14ac:dyDescent="0.25">
      <c r="C262" s="213">
        <v>0.06</v>
      </c>
      <c r="D262" s="212" t="s">
        <v>244</v>
      </c>
      <c r="E262" s="1" t="s">
        <v>245</v>
      </c>
      <c r="G262" s="312" t="s">
        <v>269</v>
      </c>
      <c r="H262" s="312"/>
      <c r="I262" s="312"/>
      <c r="J262" s="153">
        <f>K262-1</f>
        <v>0.22859285136595009</v>
      </c>
      <c r="K262" s="133">
        <f>((1+C262)^(2))*((1+C263)^(6))</f>
        <v>1.2285928513659501</v>
      </c>
    </row>
    <row r="263" spans="1:14" x14ac:dyDescent="0.25">
      <c r="C263" s="184">
        <v>1.4999999999999999E-2</v>
      </c>
      <c r="D263" s="212" t="s">
        <v>206</v>
      </c>
      <c r="E263" s="1" t="s">
        <v>246</v>
      </c>
      <c r="G263" s="312" t="s">
        <v>123</v>
      </c>
      <c r="H263" s="312"/>
      <c r="I263" s="312"/>
      <c r="J263" s="153">
        <f>K263-1</f>
        <v>0.14711067859694982</v>
      </c>
      <c r="K263" s="133">
        <f>(1+J262)^(12/18)</f>
        <v>1.1471106785969498</v>
      </c>
      <c r="L263" t="s">
        <v>268</v>
      </c>
    </row>
    <row r="264" spans="1:14" x14ac:dyDescent="0.25">
      <c r="C264" s="192"/>
      <c r="D264" s="13"/>
      <c r="E264" s="13"/>
    </row>
    <row r="265" spans="1:14" x14ac:dyDescent="0.25">
      <c r="C265" s="305" t="s">
        <v>270</v>
      </c>
      <c r="D265" s="305"/>
      <c r="E265" s="214" t="s">
        <v>307</v>
      </c>
      <c r="F265" s="305" t="s">
        <v>270</v>
      </c>
      <c r="G265" s="305"/>
      <c r="H265" s="214" t="s">
        <v>308</v>
      </c>
    </row>
    <row r="266" spans="1:14" x14ac:dyDescent="0.25">
      <c r="C266" s="305" t="s">
        <v>112</v>
      </c>
      <c r="D266" s="305"/>
      <c r="E266" s="214" t="s">
        <v>273</v>
      </c>
      <c r="F266" s="305" t="s">
        <v>112</v>
      </c>
      <c r="G266" s="305"/>
      <c r="H266" s="214" t="s">
        <v>109</v>
      </c>
      <c r="J266" s="245">
        <f>C257*(1+J262)^(1)</f>
        <v>8600149.9595616497</v>
      </c>
      <c r="K266" t="s">
        <v>312</v>
      </c>
    </row>
    <row r="267" spans="1:14" x14ac:dyDescent="0.25">
      <c r="C267" s="297" t="s">
        <v>114</v>
      </c>
      <c r="D267" s="299"/>
      <c r="E267" s="214">
        <f>12/6</f>
        <v>2</v>
      </c>
      <c r="F267" s="297" t="s">
        <v>114</v>
      </c>
      <c r="G267" s="299"/>
      <c r="H267" s="214">
        <f>6/1</f>
        <v>6</v>
      </c>
      <c r="J267" s="245">
        <f>C257*(1+J263)^(1)</f>
        <v>8029774.7501786491</v>
      </c>
      <c r="K267" t="s">
        <v>268</v>
      </c>
    </row>
    <row r="268" spans="1:14" x14ac:dyDescent="0.25">
      <c r="C268" s="280" t="s">
        <v>271</v>
      </c>
      <c r="D268" s="280"/>
      <c r="E268" s="244">
        <f>C257*(1+C262)^(E267)</f>
        <v>7865200.0000000009</v>
      </c>
      <c r="F268" s="305" t="s">
        <v>271</v>
      </c>
      <c r="G268" s="305"/>
      <c r="H268" s="203">
        <f>E268*(1+C263)^(H267)</f>
        <v>8600149.9595616516</v>
      </c>
    </row>
    <row r="269" spans="1:14" x14ac:dyDescent="0.25">
      <c r="C269" s="185"/>
      <c r="D269" s="185"/>
      <c r="E269" s="248"/>
      <c r="F269" s="171"/>
      <c r="G269" s="171"/>
      <c r="H269" s="249"/>
    </row>
    <row r="270" spans="1:14" x14ac:dyDescent="0.25">
      <c r="C270" s="230" t="s">
        <v>242</v>
      </c>
      <c r="D270" s="250">
        <v>0.12</v>
      </c>
      <c r="E270" s="230" t="s">
        <v>204</v>
      </c>
      <c r="F270" s="230" t="s">
        <v>271</v>
      </c>
      <c r="G270" s="306">
        <v>7840000.0000000009</v>
      </c>
      <c r="H270" s="306"/>
      <c r="J270" s="309" t="s">
        <v>310</v>
      </c>
      <c r="K270" s="309"/>
      <c r="L270" s="309"/>
      <c r="M270" s="309"/>
      <c r="N270" s="309"/>
    </row>
    <row r="271" spans="1:14" x14ac:dyDescent="0.25">
      <c r="C271" s="230" t="s">
        <v>243</v>
      </c>
      <c r="D271" s="251">
        <v>0.14711067859694982</v>
      </c>
      <c r="E271" s="230" t="s">
        <v>204</v>
      </c>
      <c r="F271" s="230" t="s">
        <v>271</v>
      </c>
      <c r="G271" s="307">
        <v>8600149.9595616516</v>
      </c>
      <c r="H271" s="307">
        <v>8600149.9595616516</v>
      </c>
      <c r="I271" s="13"/>
      <c r="J271" s="309"/>
      <c r="K271" s="309"/>
      <c r="L271" s="309"/>
      <c r="M271" s="309"/>
      <c r="N271" s="309"/>
    </row>
    <row r="272" spans="1:14" x14ac:dyDescent="0.25">
      <c r="A272" s="114" t="s">
        <v>182</v>
      </c>
    </row>
    <row r="273" spans="1:13" ht="15" customHeight="1" x14ac:dyDescent="0.25">
      <c r="B273" s="269" t="s">
        <v>183</v>
      </c>
      <c r="C273" s="269"/>
      <c r="D273" s="269"/>
      <c r="E273" s="269"/>
      <c r="F273" s="269"/>
      <c r="G273" s="269"/>
      <c r="H273" s="269"/>
      <c r="I273" s="269"/>
      <c r="J273" s="269"/>
      <c r="K273" s="269"/>
      <c r="L273" s="269"/>
      <c r="M273" s="269"/>
    </row>
    <row r="274" spans="1:13" x14ac:dyDescent="0.25">
      <c r="B274" s="269"/>
      <c r="C274" s="269"/>
      <c r="D274" s="269"/>
      <c r="E274" s="269"/>
      <c r="F274" s="269"/>
      <c r="G274" s="269"/>
      <c r="H274" s="269"/>
      <c r="I274" s="269"/>
      <c r="J274" s="269"/>
      <c r="K274" s="269"/>
      <c r="L274" s="269"/>
      <c r="M274" s="269"/>
    </row>
    <row r="275" spans="1:13" x14ac:dyDescent="0.25">
      <c r="B275" s="269"/>
      <c r="C275" s="269"/>
      <c r="D275" s="269"/>
      <c r="E275" s="269"/>
      <c r="F275" s="269"/>
      <c r="G275" s="269"/>
      <c r="H275" s="269"/>
      <c r="I275" s="269"/>
      <c r="J275" s="269"/>
      <c r="K275" s="269"/>
      <c r="L275" s="269"/>
      <c r="M275" s="269"/>
    </row>
    <row r="276" spans="1:13" x14ac:dyDescent="0.25">
      <c r="B276" s="190" t="s">
        <v>185</v>
      </c>
      <c r="C276" s="190"/>
      <c r="D276" s="190"/>
      <c r="E276" s="190"/>
      <c r="F276" s="190"/>
      <c r="G276" s="190"/>
      <c r="H276" s="190"/>
      <c r="I276" s="190"/>
      <c r="J276" s="190"/>
      <c r="K276" s="190"/>
      <c r="L276" s="190"/>
      <c r="M276" s="190"/>
    </row>
    <row r="277" spans="1:13" x14ac:dyDescent="0.25">
      <c r="B277" s="267" t="s">
        <v>186</v>
      </c>
      <c r="C277" s="267"/>
      <c r="D277" s="267"/>
      <c r="E277" s="267"/>
      <c r="F277" s="267"/>
      <c r="G277" s="267"/>
      <c r="H277" s="267"/>
      <c r="I277" s="267"/>
      <c r="J277" s="267"/>
      <c r="K277" s="267"/>
      <c r="L277" s="267"/>
      <c r="M277" s="267"/>
    </row>
    <row r="278" spans="1:13" x14ac:dyDescent="0.25">
      <c r="B278" s="267" t="s">
        <v>187</v>
      </c>
      <c r="C278" s="267"/>
      <c r="D278" s="267"/>
      <c r="E278" s="267"/>
      <c r="F278" s="267"/>
      <c r="G278" s="267"/>
      <c r="H278" s="267"/>
      <c r="I278" s="267"/>
      <c r="J278" s="267"/>
      <c r="K278" s="267"/>
      <c r="L278" s="267"/>
      <c r="M278" s="267"/>
    </row>
    <row r="279" spans="1:13" x14ac:dyDescent="0.25">
      <c r="B279" s="267" t="s">
        <v>184</v>
      </c>
      <c r="C279" s="267"/>
      <c r="D279" s="267"/>
      <c r="E279" s="267"/>
      <c r="F279" s="267"/>
      <c r="G279" s="267"/>
      <c r="H279" s="267"/>
      <c r="I279" s="267"/>
      <c r="J279" s="267"/>
      <c r="K279" s="267"/>
      <c r="L279" s="267"/>
      <c r="M279" s="267"/>
    </row>
    <row r="280" spans="1:13" ht="15" customHeight="1" x14ac:dyDescent="0.25">
      <c r="B280" s="269" t="s">
        <v>188</v>
      </c>
      <c r="C280" s="269"/>
      <c r="D280" s="269"/>
      <c r="E280" s="269"/>
      <c r="F280" s="269"/>
      <c r="G280" s="269"/>
      <c r="H280" s="269"/>
      <c r="I280" s="269"/>
      <c r="J280" s="269"/>
      <c r="K280" s="269"/>
      <c r="L280" s="269"/>
      <c r="M280" s="269"/>
    </row>
    <row r="281" spans="1:13" x14ac:dyDescent="0.25">
      <c r="B281" s="269"/>
      <c r="C281" s="269"/>
      <c r="D281" s="269"/>
      <c r="E281" s="269"/>
      <c r="F281" s="269"/>
      <c r="G281" s="269"/>
      <c r="H281" s="269"/>
      <c r="I281" s="269"/>
      <c r="J281" s="269"/>
      <c r="K281" s="269"/>
      <c r="L281" s="269"/>
      <c r="M281" s="269"/>
    </row>
    <row r="282" spans="1:13" x14ac:dyDescent="0.25">
      <c r="B282" s="267" t="s">
        <v>189</v>
      </c>
      <c r="C282" s="267"/>
      <c r="D282" s="267"/>
      <c r="E282" s="267"/>
      <c r="F282" s="267"/>
      <c r="G282" s="267"/>
      <c r="H282" s="267"/>
      <c r="I282" s="267"/>
      <c r="J282" s="267"/>
      <c r="K282" s="267"/>
      <c r="L282" s="267"/>
      <c r="M282" s="267"/>
    </row>
    <row r="284" spans="1:13" x14ac:dyDescent="0.25">
      <c r="A284" s="101" t="s">
        <v>247</v>
      </c>
      <c r="B284" s="60" t="s">
        <v>248</v>
      </c>
      <c r="C284" s="133">
        <v>7000000</v>
      </c>
      <c r="E284" s="305" t="s">
        <v>251</v>
      </c>
      <c r="F284" s="305"/>
      <c r="G284" s="202">
        <f>C285/C286</f>
        <v>7000</v>
      </c>
    </row>
    <row r="285" spans="1:13" x14ac:dyDescent="0.25">
      <c r="B285" s="60" t="s">
        <v>249</v>
      </c>
      <c r="C285" s="133">
        <f>C284*50%</f>
        <v>3500000</v>
      </c>
      <c r="E285" s="5"/>
      <c r="F285" s="5"/>
      <c r="G285" s="5"/>
    </row>
    <row r="286" spans="1:13" x14ac:dyDescent="0.25">
      <c r="B286" s="60" t="s">
        <v>250</v>
      </c>
      <c r="C286" s="133">
        <v>500</v>
      </c>
    </row>
    <row r="288" spans="1:13" x14ac:dyDescent="0.25">
      <c r="A288" s="101" t="s">
        <v>252</v>
      </c>
      <c r="B288" s="150" t="s">
        <v>253</v>
      </c>
      <c r="C288" s="132">
        <v>8</v>
      </c>
      <c r="E288" s="270" t="s">
        <v>190</v>
      </c>
      <c r="F288" s="270"/>
      <c r="G288" s="136">
        <f>C293*((G290*(1+G290)^8)/((1+G290)^8-1))</f>
        <v>467544.08608518669</v>
      </c>
      <c r="H288" s="196">
        <f>G288/500</f>
        <v>935.08817217037335</v>
      </c>
      <c r="I288" s="45"/>
      <c r="J288" s="45"/>
    </row>
    <row r="289" spans="1:10" x14ac:dyDescent="0.25">
      <c r="B289" s="303" t="s">
        <v>254</v>
      </c>
      <c r="C289" s="304"/>
    </row>
    <row r="290" spans="1:10" x14ac:dyDescent="0.25">
      <c r="B290" s="150" t="s">
        <v>200</v>
      </c>
      <c r="C290" s="193">
        <v>1.4999999999999999E-2</v>
      </c>
      <c r="E290" s="265" t="s">
        <v>0</v>
      </c>
      <c r="F290" s="266"/>
      <c r="G290" s="195">
        <v>1.4999999999999999E-2</v>
      </c>
      <c r="H290" s="119"/>
      <c r="I290" s="118"/>
      <c r="J290" s="118"/>
    </row>
    <row r="291" spans="1:10" ht="15" customHeight="1" x14ac:dyDescent="0.25">
      <c r="E291" s="294" t="s">
        <v>1</v>
      </c>
      <c r="F291" s="294" t="s">
        <v>2</v>
      </c>
      <c r="G291" s="294" t="s">
        <v>3</v>
      </c>
      <c r="H291" s="294" t="s">
        <v>4</v>
      </c>
      <c r="I291" s="294" t="s">
        <v>5</v>
      </c>
      <c r="J291" s="294" t="s">
        <v>6</v>
      </c>
    </row>
    <row r="292" spans="1:10" x14ac:dyDescent="0.25">
      <c r="B292" s="60" t="s">
        <v>248</v>
      </c>
      <c r="C292" s="133">
        <v>7000000</v>
      </c>
      <c r="E292" s="295"/>
      <c r="F292" s="295"/>
      <c r="G292" s="295"/>
      <c r="H292" s="295"/>
      <c r="I292" s="295"/>
      <c r="J292" s="295"/>
    </row>
    <row r="293" spans="1:10" x14ac:dyDescent="0.25">
      <c r="B293" s="60" t="s">
        <v>249</v>
      </c>
      <c r="C293" s="133">
        <f>C292*50%</f>
        <v>3500000</v>
      </c>
      <c r="E293" s="296"/>
      <c r="F293" s="296"/>
      <c r="G293" s="296"/>
      <c r="H293" s="296"/>
      <c r="I293" s="296"/>
      <c r="J293" s="296"/>
    </row>
    <row r="294" spans="1:10" x14ac:dyDescent="0.25">
      <c r="B294" s="60" t="s">
        <v>250</v>
      </c>
      <c r="C294" s="133">
        <v>500</v>
      </c>
      <c r="E294" s="4">
        <v>1</v>
      </c>
      <c r="F294" s="115">
        <f>C293/500</f>
        <v>7000</v>
      </c>
      <c r="G294" s="115">
        <f>$H$288</f>
        <v>935.08817217037335</v>
      </c>
      <c r="H294" s="115">
        <f>F294*$G$290</f>
        <v>105</v>
      </c>
      <c r="I294" s="115">
        <f t="shared" ref="I294:I301" si="76">G294-H294</f>
        <v>830.08817217037335</v>
      </c>
      <c r="J294" s="115">
        <f>I294</f>
        <v>830.08817217037335</v>
      </c>
    </row>
    <row r="295" spans="1:10" x14ac:dyDescent="0.25">
      <c r="E295" s="4">
        <v>2</v>
      </c>
      <c r="F295" s="115">
        <f>$F$294-J294</f>
        <v>6169.9118278296264</v>
      </c>
      <c r="G295" s="115">
        <f t="shared" ref="G295:G301" si="77">$H$288</f>
        <v>935.08817217037335</v>
      </c>
      <c r="H295" s="115">
        <f t="shared" ref="H295:H301" si="78">F295*$G$290</f>
        <v>92.548677417444395</v>
      </c>
      <c r="I295" s="115">
        <f t="shared" si="76"/>
        <v>842.53949475292893</v>
      </c>
      <c r="J295" s="115">
        <f>J294+I295</f>
        <v>1672.6276669233023</v>
      </c>
    </row>
    <row r="296" spans="1:10" x14ac:dyDescent="0.25">
      <c r="E296" s="4">
        <v>3</v>
      </c>
      <c r="F296" s="115">
        <f t="shared" ref="F296:F301" si="79">$F$294-J295</f>
        <v>5327.3723330766979</v>
      </c>
      <c r="G296" s="115">
        <f t="shared" si="77"/>
        <v>935.08817217037335</v>
      </c>
      <c r="H296" s="115">
        <f t="shared" si="78"/>
        <v>79.910584996150462</v>
      </c>
      <c r="I296" s="115">
        <f t="shared" si="76"/>
        <v>855.17758717422294</v>
      </c>
      <c r="J296" s="115">
        <f>J295+I296</f>
        <v>2527.805254097525</v>
      </c>
    </row>
    <row r="297" spans="1:10" x14ac:dyDescent="0.25">
      <c r="E297" s="194">
        <v>4</v>
      </c>
      <c r="F297" s="115">
        <f t="shared" si="79"/>
        <v>4472.194745902475</v>
      </c>
      <c r="G297" s="115">
        <f t="shared" si="77"/>
        <v>935.08817217037335</v>
      </c>
      <c r="H297" s="197">
        <f t="shared" si="78"/>
        <v>67.082921188537128</v>
      </c>
      <c r="I297" s="197">
        <f t="shared" si="76"/>
        <v>868.00525098183618</v>
      </c>
      <c r="J297" s="197">
        <f>J296+I297</f>
        <v>3395.8105050793611</v>
      </c>
    </row>
    <row r="298" spans="1:10" x14ac:dyDescent="0.25">
      <c r="E298" s="4">
        <v>5</v>
      </c>
      <c r="F298" s="115">
        <f t="shared" si="79"/>
        <v>3604.1894949206389</v>
      </c>
      <c r="G298" s="115">
        <f t="shared" si="77"/>
        <v>935.08817217037335</v>
      </c>
      <c r="H298" s="115">
        <f t="shared" si="78"/>
        <v>54.062842423809585</v>
      </c>
      <c r="I298" s="115">
        <f t="shared" si="76"/>
        <v>881.02532974656378</v>
      </c>
      <c r="J298" s="115">
        <f>J297+I298</f>
        <v>4276.8358348259244</v>
      </c>
    </row>
    <row r="299" spans="1:10" x14ac:dyDescent="0.25">
      <c r="E299" s="133">
        <v>6</v>
      </c>
      <c r="F299" s="115">
        <f t="shared" si="79"/>
        <v>2723.1641651740756</v>
      </c>
      <c r="G299" s="115">
        <f t="shared" si="77"/>
        <v>935.08817217037335</v>
      </c>
      <c r="H299" s="115">
        <f t="shared" si="78"/>
        <v>40.847462477611131</v>
      </c>
      <c r="I299" s="115">
        <f t="shared" si="76"/>
        <v>894.24070969276227</v>
      </c>
      <c r="J299" s="115">
        <f>J298+I299</f>
        <v>5171.0765445186862</v>
      </c>
    </row>
    <row r="300" spans="1:10" x14ac:dyDescent="0.25">
      <c r="E300" s="194">
        <v>7</v>
      </c>
      <c r="F300" s="115">
        <f t="shared" si="79"/>
        <v>1828.9234554813138</v>
      </c>
      <c r="G300" s="115">
        <f t="shared" si="77"/>
        <v>935.08817217037335</v>
      </c>
      <c r="H300" s="115">
        <f t="shared" si="78"/>
        <v>27.433851832219705</v>
      </c>
      <c r="I300" s="115">
        <f t="shared" si="76"/>
        <v>907.65432033815364</v>
      </c>
      <c r="J300" s="115">
        <f t="shared" ref="J300:J301" si="80">J299+I300</f>
        <v>6078.7308648568396</v>
      </c>
    </row>
    <row r="301" spans="1:10" x14ac:dyDescent="0.25">
      <c r="E301" s="194">
        <v>8</v>
      </c>
      <c r="F301" s="115">
        <f t="shared" si="79"/>
        <v>921.26913514316038</v>
      </c>
      <c r="G301" s="115">
        <f t="shared" si="77"/>
        <v>935.08817217037335</v>
      </c>
      <c r="H301" s="115">
        <f t="shared" si="78"/>
        <v>13.819037027147406</v>
      </c>
      <c r="I301" s="115">
        <f t="shared" si="76"/>
        <v>921.26913514322598</v>
      </c>
      <c r="J301" s="115">
        <f t="shared" si="80"/>
        <v>7000.0000000000655</v>
      </c>
    </row>
    <row r="303" spans="1:10" x14ac:dyDescent="0.25">
      <c r="A303" s="101" t="s">
        <v>255</v>
      </c>
      <c r="B303" s="150" t="s">
        <v>253</v>
      </c>
      <c r="C303" s="132">
        <v>8</v>
      </c>
      <c r="E303" s="265" t="s">
        <v>0</v>
      </c>
      <c r="F303" s="266"/>
      <c r="G303" s="195">
        <v>1.4999999999999999E-2</v>
      </c>
      <c r="H303" s="119"/>
      <c r="I303" s="118"/>
      <c r="J303" s="118"/>
    </row>
    <row r="304" spans="1:10" x14ac:dyDescent="0.25">
      <c r="B304" s="303" t="s">
        <v>256</v>
      </c>
      <c r="C304" s="304"/>
      <c r="E304" s="294" t="s">
        <v>1</v>
      </c>
      <c r="F304" s="294" t="s">
        <v>2</v>
      </c>
      <c r="G304" s="294" t="s">
        <v>3</v>
      </c>
      <c r="H304" s="294" t="s">
        <v>4</v>
      </c>
      <c r="I304" s="294" t="s">
        <v>5</v>
      </c>
      <c r="J304" s="294" t="s">
        <v>6</v>
      </c>
    </row>
    <row r="305" spans="2:13" x14ac:dyDescent="0.25">
      <c r="B305" s="150" t="s">
        <v>200</v>
      </c>
      <c r="C305" s="193">
        <v>1.4999999999999999E-2</v>
      </c>
      <c r="E305" s="295"/>
      <c r="F305" s="295"/>
      <c r="G305" s="295"/>
      <c r="H305" s="295"/>
      <c r="I305" s="295"/>
      <c r="J305" s="295"/>
    </row>
    <row r="306" spans="2:13" x14ac:dyDescent="0.25">
      <c r="E306" s="296"/>
      <c r="F306" s="296"/>
      <c r="G306" s="296"/>
      <c r="H306" s="296"/>
      <c r="I306" s="296"/>
      <c r="J306" s="296"/>
    </row>
    <row r="307" spans="2:13" x14ac:dyDescent="0.25">
      <c r="B307" s="60" t="s">
        <v>248</v>
      </c>
      <c r="C307" s="133">
        <v>7000000</v>
      </c>
      <c r="E307" s="4">
        <v>1</v>
      </c>
      <c r="F307" s="198">
        <f>C308/500</f>
        <v>7000</v>
      </c>
      <c r="G307" s="198">
        <f>H307+I307</f>
        <v>980</v>
      </c>
      <c r="H307" s="198">
        <f>F307*$G$303</f>
        <v>105</v>
      </c>
      <c r="I307" s="198">
        <f>$F$307/8</f>
        <v>875</v>
      </c>
      <c r="J307" s="198">
        <f>I307</f>
        <v>875</v>
      </c>
    </row>
    <row r="308" spans="2:13" x14ac:dyDescent="0.25">
      <c r="B308" s="60" t="s">
        <v>249</v>
      </c>
      <c r="C308" s="133">
        <f>C307*50%</f>
        <v>3500000</v>
      </c>
      <c r="E308" s="4">
        <v>2</v>
      </c>
      <c r="F308" s="198">
        <f>$F$294-J307</f>
        <v>6125</v>
      </c>
      <c r="G308" s="198">
        <f t="shared" ref="G308:G314" si="81">H308+I308</f>
        <v>966.875</v>
      </c>
      <c r="H308" s="198">
        <f t="shared" ref="H308:H314" si="82">F308*$G$303</f>
        <v>91.875</v>
      </c>
      <c r="I308" s="198">
        <f t="shared" ref="I308:I314" si="83">$F$307/8</f>
        <v>875</v>
      </c>
      <c r="J308" s="198">
        <f>J307+I308</f>
        <v>1750</v>
      </c>
    </row>
    <row r="309" spans="2:13" x14ac:dyDescent="0.25">
      <c r="B309" s="60" t="s">
        <v>250</v>
      </c>
      <c r="C309" s="133">
        <v>500</v>
      </c>
      <c r="E309" s="4">
        <v>3</v>
      </c>
      <c r="F309" s="198">
        <f t="shared" ref="F309:F314" si="84">$F$294-J308</f>
        <v>5250</v>
      </c>
      <c r="G309" s="198">
        <f t="shared" si="81"/>
        <v>953.75</v>
      </c>
      <c r="H309" s="198">
        <f t="shared" si="82"/>
        <v>78.75</v>
      </c>
      <c r="I309" s="198">
        <f t="shared" si="83"/>
        <v>875</v>
      </c>
      <c r="J309" s="198">
        <f>J308+I309</f>
        <v>2625</v>
      </c>
    </row>
    <row r="310" spans="2:13" x14ac:dyDescent="0.25">
      <c r="E310" s="194">
        <v>4</v>
      </c>
      <c r="F310" s="198">
        <f t="shared" si="84"/>
        <v>4375</v>
      </c>
      <c r="G310" s="198">
        <f t="shared" si="81"/>
        <v>940.625</v>
      </c>
      <c r="H310" s="198">
        <f t="shared" si="82"/>
        <v>65.625</v>
      </c>
      <c r="I310" s="198">
        <f t="shared" si="83"/>
        <v>875</v>
      </c>
      <c r="J310" s="199">
        <f>J309+I310</f>
        <v>3500</v>
      </c>
    </row>
    <row r="311" spans="2:13" x14ac:dyDescent="0.25">
      <c r="E311" s="4">
        <v>5</v>
      </c>
      <c r="F311" s="198">
        <f t="shared" si="84"/>
        <v>3500</v>
      </c>
      <c r="G311" s="198">
        <f t="shared" si="81"/>
        <v>927.5</v>
      </c>
      <c r="H311" s="198">
        <f t="shared" si="82"/>
        <v>52.5</v>
      </c>
      <c r="I311" s="198">
        <f t="shared" si="83"/>
        <v>875</v>
      </c>
      <c r="J311" s="198">
        <f>J310+I311</f>
        <v>4375</v>
      </c>
    </row>
    <row r="312" spans="2:13" x14ac:dyDescent="0.25">
      <c r="E312" s="133">
        <v>6</v>
      </c>
      <c r="F312" s="198">
        <f t="shared" si="84"/>
        <v>2625</v>
      </c>
      <c r="G312" s="198">
        <f t="shared" si="81"/>
        <v>914.375</v>
      </c>
      <c r="H312" s="198">
        <f t="shared" si="82"/>
        <v>39.375</v>
      </c>
      <c r="I312" s="198">
        <f t="shared" si="83"/>
        <v>875</v>
      </c>
      <c r="J312" s="198">
        <f>J311+I312</f>
        <v>5250</v>
      </c>
    </row>
    <row r="313" spans="2:13" x14ac:dyDescent="0.25">
      <c r="E313" s="194">
        <v>7</v>
      </c>
      <c r="F313" s="198">
        <f t="shared" si="84"/>
        <v>1750</v>
      </c>
      <c r="G313" s="198">
        <f t="shared" si="81"/>
        <v>901.25</v>
      </c>
      <c r="H313" s="198">
        <f t="shared" si="82"/>
        <v>26.25</v>
      </c>
      <c r="I313" s="198">
        <f t="shared" si="83"/>
        <v>875</v>
      </c>
      <c r="J313" s="198">
        <f t="shared" ref="J313:J314" si="85">J312+I313</f>
        <v>6125</v>
      </c>
    </row>
    <row r="314" spans="2:13" x14ac:dyDescent="0.25">
      <c r="E314" s="194">
        <v>8</v>
      </c>
      <c r="F314" s="198">
        <f t="shared" si="84"/>
        <v>875</v>
      </c>
      <c r="G314" s="198">
        <f t="shared" si="81"/>
        <v>888.125</v>
      </c>
      <c r="H314" s="198">
        <f t="shared" si="82"/>
        <v>13.125</v>
      </c>
      <c r="I314" s="198">
        <f t="shared" si="83"/>
        <v>875</v>
      </c>
      <c r="J314" s="198">
        <f t="shared" si="85"/>
        <v>7000</v>
      </c>
    </row>
    <row r="316" spans="2:13" x14ac:dyDescent="0.25">
      <c r="B316" s="269" t="s">
        <v>188</v>
      </c>
      <c r="C316" s="269"/>
      <c r="D316" s="269"/>
      <c r="E316" s="269"/>
      <c r="F316" s="269"/>
      <c r="G316" s="269"/>
      <c r="H316" s="269"/>
      <c r="I316" s="269"/>
      <c r="J316" s="269"/>
      <c r="K316" s="269"/>
      <c r="L316" s="269"/>
      <c r="M316" s="269"/>
    </row>
    <row r="317" spans="2:13" x14ac:dyDescent="0.25">
      <c r="B317" s="269"/>
      <c r="C317" s="269"/>
      <c r="D317" s="269"/>
      <c r="E317" s="269"/>
      <c r="F317" s="269"/>
      <c r="G317" s="269"/>
      <c r="H317" s="269"/>
      <c r="I317" s="269"/>
      <c r="J317" s="269"/>
      <c r="K317" s="269"/>
      <c r="L317" s="269"/>
      <c r="M317" s="269"/>
    </row>
    <row r="319" spans="2:13" x14ac:dyDescent="0.25">
      <c r="B319" s="150" t="s">
        <v>253</v>
      </c>
      <c r="C319" s="132">
        <v>5</v>
      </c>
      <c r="E319" s="270" t="s">
        <v>190</v>
      </c>
      <c r="F319" s="270"/>
      <c r="G319" s="125">
        <f>C327*((G321*(1+G321)^5)/((1+G321)^5-1))</f>
        <v>1530.4812852277955</v>
      </c>
      <c r="H319" s="196"/>
      <c r="I319" s="45"/>
      <c r="J319" s="45"/>
    </row>
    <row r="320" spans="2:13" x14ac:dyDescent="0.25">
      <c r="B320" s="303" t="s">
        <v>254</v>
      </c>
      <c r="C320" s="304"/>
    </row>
    <row r="321" spans="2:13" x14ac:dyDescent="0.25">
      <c r="B321" s="150" t="s">
        <v>200</v>
      </c>
      <c r="C321" s="193">
        <v>1.4999999999999999E-2</v>
      </c>
      <c r="E321" s="265" t="s">
        <v>0</v>
      </c>
      <c r="F321" s="266"/>
      <c r="G321" s="195">
        <v>1.4999999999999999E-2</v>
      </c>
      <c r="H321" s="119"/>
      <c r="I321" s="118"/>
      <c r="J321" s="118"/>
    </row>
    <row r="322" spans="2:13" x14ac:dyDescent="0.25">
      <c r="E322" s="294" t="s">
        <v>1</v>
      </c>
      <c r="F322" s="294" t="s">
        <v>2</v>
      </c>
      <c r="G322" s="294" t="s">
        <v>3</v>
      </c>
      <c r="H322" s="294" t="s">
        <v>4</v>
      </c>
      <c r="I322" s="294" t="s">
        <v>5</v>
      </c>
      <c r="J322" s="294" t="s">
        <v>6</v>
      </c>
    </row>
    <row r="323" spans="2:13" x14ac:dyDescent="0.25">
      <c r="B323" s="60" t="s">
        <v>248</v>
      </c>
      <c r="C323" s="133">
        <v>7000000</v>
      </c>
      <c r="E323" s="295"/>
      <c r="F323" s="295"/>
      <c r="G323" s="295"/>
      <c r="H323" s="295"/>
      <c r="I323" s="295"/>
      <c r="J323" s="295"/>
    </row>
    <row r="324" spans="2:13" x14ac:dyDescent="0.25">
      <c r="B324" s="60" t="s">
        <v>249</v>
      </c>
      <c r="C324" s="133">
        <f>C323*50%</f>
        <v>3500000</v>
      </c>
      <c r="E324" s="296"/>
      <c r="F324" s="296"/>
      <c r="G324" s="296"/>
      <c r="H324" s="296"/>
      <c r="I324" s="296"/>
      <c r="J324" s="296"/>
    </row>
    <row r="325" spans="2:13" x14ac:dyDescent="0.25">
      <c r="B325" s="60" t="s">
        <v>250</v>
      </c>
      <c r="C325" s="133">
        <v>500</v>
      </c>
      <c r="E325" s="4">
        <v>1</v>
      </c>
      <c r="F325" s="115">
        <f>C327</f>
        <v>7319.7486249999974</v>
      </c>
      <c r="G325" s="115">
        <f>$G$319</f>
        <v>1530.4812852277955</v>
      </c>
      <c r="H325" s="115">
        <f>F325*$G$321</f>
        <v>109.79622937499995</v>
      </c>
      <c r="I325" s="115">
        <f>G325-H325</f>
        <v>1420.6850558527956</v>
      </c>
      <c r="J325" s="115">
        <f>I325</f>
        <v>1420.6850558527956</v>
      </c>
    </row>
    <row r="326" spans="2:13" x14ac:dyDescent="0.25">
      <c r="C326" s="5">
        <f>C324/C325</f>
        <v>7000</v>
      </c>
      <c r="E326" s="4">
        <v>2</v>
      </c>
      <c r="F326" s="115">
        <f>$F$325-J325</f>
        <v>5899.0635691472016</v>
      </c>
      <c r="G326" s="115">
        <f t="shared" ref="G326:G329" si="86">$G$319</f>
        <v>1530.4812852277955</v>
      </c>
      <c r="H326" s="115">
        <f t="shared" ref="H326:H329" si="87">F326*$G$290</f>
        <v>88.485953537208019</v>
      </c>
      <c r="I326" s="115">
        <f t="shared" ref="I326:I329" si="88">G326-H326</f>
        <v>1441.9953316905876</v>
      </c>
      <c r="J326" s="115">
        <f>J325+I326</f>
        <v>2862.6803875433834</v>
      </c>
    </row>
    <row r="327" spans="2:13" x14ac:dyDescent="0.25">
      <c r="B327" s="145" t="s">
        <v>257</v>
      </c>
      <c r="C327" s="133">
        <f>C326*(1+G321)^3</f>
        <v>7319.7486249999974</v>
      </c>
      <c r="E327" s="4">
        <v>3</v>
      </c>
      <c r="F327" s="115">
        <f t="shared" ref="F327:F329" si="89">$F$325-J326</f>
        <v>4457.068237456614</v>
      </c>
      <c r="G327" s="115">
        <f t="shared" si="86"/>
        <v>1530.4812852277955</v>
      </c>
      <c r="H327" s="115">
        <f t="shared" si="87"/>
        <v>66.856023561849213</v>
      </c>
      <c r="I327" s="115">
        <f t="shared" si="88"/>
        <v>1463.6252616659463</v>
      </c>
      <c r="J327" s="115">
        <f>J326+I327</f>
        <v>4326.3056492093292</v>
      </c>
    </row>
    <row r="328" spans="2:13" x14ac:dyDescent="0.25">
      <c r="E328" s="194">
        <v>4</v>
      </c>
      <c r="F328" s="115">
        <f t="shared" si="89"/>
        <v>2993.4429757906682</v>
      </c>
      <c r="G328" s="115">
        <f t="shared" si="86"/>
        <v>1530.4812852277955</v>
      </c>
      <c r="H328" s="197">
        <f t="shared" si="87"/>
        <v>44.90164463686002</v>
      </c>
      <c r="I328" s="197">
        <f t="shared" si="88"/>
        <v>1485.5796405909355</v>
      </c>
      <c r="J328" s="197">
        <f>J327+I328</f>
        <v>5811.8852898002642</v>
      </c>
    </row>
    <row r="329" spans="2:13" x14ac:dyDescent="0.25">
      <c r="E329" s="4">
        <v>5</v>
      </c>
      <c r="F329" s="115">
        <f t="shared" si="89"/>
        <v>1507.8633351997332</v>
      </c>
      <c r="G329" s="115">
        <f t="shared" si="86"/>
        <v>1530.4812852277955</v>
      </c>
      <c r="H329" s="115">
        <f t="shared" si="87"/>
        <v>22.617950027995999</v>
      </c>
      <c r="I329" s="115">
        <f t="shared" si="88"/>
        <v>1507.8633351997996</v>
      </c>
      <c r="J329" s="115">
        <f>J328+I329</f>
        <v>7319.7486250000638</v>
      </c>
    </row>
    <row r="331" spans="2:13" x14ac:dyDescent="0.25">
      <c r="E331" s="305" t="s">
        <v>258</v>
      </c>
      <c r="F331" s="305"/>
      <c r="G331" s="305"/>
    </row>
    <row r="333" spans="2:13" x14ac:dyDescent="0.25">
      <c r="B333" s="267" t="s">
        <v>189</v>
      </c>
      <c r="C333" s="267"/>
      <c r="D333" s="267"/>
      <c r="E333" s="267"/>
      <c r="F333" s="267"/>
      <c r="G333" s="267"/>
      <c r="H333" s="267"/>
      <c r="I333" s="267"/>
      <c r="J333" s="267"/>
      <c r="K333" s="267"/>
      <c r="L333" s="267"/>
      <c r="M333" s="267"/>
    </row>
    <row r="335" spans="2:13" x14ac:dyDescent="0.25">
      <c r="B335" s="150" t="s">
        <v>253</v>
      </c>
      <c r="C335" s="132">
        <v>8</v>
      </c>
      <c r="E335" s="265" t="s">
        <v>0</v>
      </c>
      <c r="F335" s="266"/>
      <c r="G335" s="195">
        <v>1.4999999999999999E-2</v>
      </c>
      <c r="H335" s="119"/>
      <c r="I335" s="118"/>
      <c r="J335" s="118"/>
    </row>
    <row r="336" spans="2:13" x14ac:dyDescent="0.25">
      <c r="B336" s="303" t="s">
        <v>256</v>
      </c>
      <c r="C336" s="304"/>
      <c r="E336" s="294" t="s">
        <v>1</v>
      </c>
      <c r="F336" s="294" t="s">
        <v>2</v>
      </c>
      <c r="G336" s="294" t="s">
        <v>3</v>
      </c>
      <c r="H336" s="294" t="s">
        <v>4</v>
      </c>
      <c r="I336" s="294" t="s">
        <v>5</v>
      </c>
      <c r="J336" s="294" t="s">
        <v>6</v>
      </c>
    </row>
    <row r="337" spans="2:10" x14ac:dyDescent="0.25">
      <c r="B337" s="150" t="s">
        <v>200</v>
      </c>
      <c r="C337" s="193">
        <v>1.4999999999999999E-2</v>
      </c>
      <c r="E337" s="295"/>
      <c r="F337" s="295"/>
      <c r="G337" s="295"/>
      <c r="H337" s="295"/>
      <c r="I337" s="295"/>
      <c r="J337" s="295"/>
    </row>
    <row r="338" spans="2:10" x14ac:dyDescent="0.25">
      <c r="E338" s="296"/>
      <c r="F338" s="296"/>
      <c r="G338" s="296"/>
      <c r="H338" s="296"/>
      <c r="I338" s="296"/>
      <c r="J338" s="296"/>
    </row>
    <row r="339" spans="2:10" x14ac:dyDescent="0.25">
      <c r="B339" s="60" t="s">
        <v>248</v>
      </c>
      <c r="C339" s="133">
        <v>7000000</v>
      </c>
      <c r="E339" s="4">
        <v>1</v>
      </c>
      <c r="F339" s="198">
        <f>C340/500</f>
        <v>7000</v>
      </c>
      <c r="G339" s="198">
        <f>H339+I339</f>
        <v>980</v>
      </c>
      <c r="H339" s="198">
        <f>F339*$G$335</f>
        <v>105</v>
      </c>
      <c r="I339" s="198">
        <f>$F$339/8</f>
        <v>875</v>
      </c>
      <c r="J339" s="198">
        <f>I339</f>
        <v>875</v>
      </c>
    </row>
    <row r="340" spans="2:10" x14ac:dyDescent="0.25">
      <c r="B340" s="60" t="s">
        <v>249</v>
      </c>
      <c r="C340" s="133">
        <f>C339*50%</f>
        <v>3500000</v>
      </c>
      <c r="E340" s="4">
        <v>2</v>
      </c>
      <c r="F340" s="198">
        <f t="shared" ref="F340:F346" si="90">$F$339-J339</f>
        <v>6125</v>
      </c>
      <c r="G340" s="198">
        <f t="shared" ref="G340:G346" si="91">H340+I340</f>
        <v>966.875</v>
      </c>
      <c r="H340" s="198">
        <f t="shared" ref="H340:H346" si="92">F340*$G$335</f>
        <v>91.875</v>
      </c>
      <c r="I340" s="198">
        <f t="shared" ref="I340:I346" si="93">$F$339/8</f>
        <v>875</v>
      </c>
      <c r="J340" s="198">
        <f>J339+I340</f>
        <v>1750</v>
      </c>
    </row>
    <row r="341" spans="2:10" x14ac:dyDescent="0.25">
      <c r="B341" s="60" t="s">
        <v>250</v>
      </c>
      <c r="C341" s="133">
        <v>500</v>
      </c>
      <c r="E341" s="4">
        <v>3</v>
      </c>
      <c r="F341" s="198">
        <f t="shared" si="90"/>
        <v>5250</v>
      </c>
      <c r="G341" s="198">
        <f t="shared" si="91"/>
        <v>953.75</v>
      </c>
      <c r="H341" s="198">
        <f t="shared" si="92"/>
        <v>78.75</v>
      </c>
      <c r="I341" s="198">
        <f t="shared" si="93"/>
        <v>875</v>
      </c>
      <c r="J341" s="198">
        <f>J340+I341</f>
        <v>2625</v>
      </c>
    </row>
    <row r="342" spans="2:10" x14ac:dyDescent="0.25">
      <c r="E342" s="200">
        <v>4</v>
      </c>
      <c r="F342" s="201">
        <f t="shared" si="90"/>
        <v>4375</v>
      </c>
      <c r="G342" s="201">
        <f t="shared" si="91"/>
        <v>940.625</v>
      </c>
      <c r="H342" s="201">
        <f t="shared" si="92"/>
        <v>65.625</v>
      </c>
      <c r="I342" s="201">
        <f t="shared" si="93"/>
        <v>875</v>
      </c>
      <c r="J342" s="201">
        <f>J341+I342</f>
        <v>3500</v>
      </c>
    </row>
    <row r="343" spans="2:10" x14ac:dyDescent="0.25">
      <c r="E343" s="4">
        <v>5</v>
      </c>
      <c r="F343" s="198">
        <f t="shared" si="90"/>
        <v>3500</v>
      </c>
      <c r="G343" s="198">
        <f t="shared" si="91"/>
        <v>927.5</v>
      </c>
      <c r="H343" s="198">
        <f t="shared" si="92"/>
        <v>52.5</v>
      </c>
      <c r="I343" s="198">
        <f t="shared" si="93"/>
        <v>875</v>
      </c>
      <c r="J343" s="198">
        <f>J342+I343</f>
        <v>4375</v>
      </c>
    </row>
    <row r="344" spans="2:10" x14ac:dyDescent="0.25">
      <c r="E344" s="133">
        <v>6</v>
      </c>
      <c r="F344" s="198">
        <f t="shared" si="90"/>
        <v>2625</v>
      </c>
      <c r="G344" s="198">
        <f t="shared" si="91"/>
        <v>914.375</v>
      </c>
      <c r="H344" s="198">
        <f t="shared" si="92"/>
        <v>39.375</v>
      </c>
      <c r="I344" s="198">
        <f t="shared" si="93"/>
        <v>875</v>
      </c>
      <c r="J344" s="198">
        <f>J343+I344</f>
        <v>5250</v>
      </c>
    </row>
    <row r="345" spans="2:10" x14ac:dyDescent="0.25">
      <c r="E345" s="194">
        <v>7</v>
      </c>
      <c r="F345" s="198">
        <f t="shared" si="90"/>
        <v>1750</v>
      </c>
      <c r="G345" s="198">
        <f t="shared" si="91"/>
        <v>901.25</v>
      </c>
      <c r="H345" s="198">
        <f t="shared" si="92"/>
        <v>26.25</v>
      </c>
      <c r="I345" s="198">
        <f t="shared" si="93"/>
        <v>875</v>
      </c>
      <c r="J345" s="198">
        <f t="shared" ref="J345:J346" si="94">J344+I345</f>
        <v>6125</v>
      </c>
    </row>
    <row r="346" spans="2:10" x14ac:dyDescent="0.25">
      <c r="E346" s="194">
        <v>8</v>
      </c>
      <c r="F346" s="198">
        <f t="shared" si="90"/>
        <v>875</v>
      </c>
      <c r="G346" s="198">
        <f t="shared" si="91"/>
        <v>888.125</v>
      </c>
      <c r="H346" s="198">
        <f t="shared" si="92"/>
        <v>13.125</v>
      </c>
      <c r="I346" s="198">
        <f t="shared" si="93"/>
        <v>875</v>
      </c>
      <c r="J346" s="198">
        <f t="shared" si="94"/>
        <v>7000</v>
      </c>
    </row>
    <row r="348" spans="2:10" x14ac:dyDescent="0.25">
      <c r="E348" s="297" t="s">
        <v>259</v>
      </c>
      <c r="F348" s="298"/>
      <c r="G348" s="298"/>
      <c r="H348" s="299"/>
      <c r="I348" s="203">
        <f>F343</f>
        <v>3500</v>
      </c>
      <c r="J348" s="225">
        <f>F342-I342</f>
        <v>3500</v>
      </c>
    </row>
    <row r="349" spans="2:10" x14ac:dyDescent="0.25">
      <c r="I349" s="243"/>
    </row>
  </sheetData>
  <mergeCells count="150">
    <mergeCell ref="A135:A137"/>
    <mergeCell ref="A138:B138"/>
    <mergeCell ref="J140:J143"/>
    <mergeCell ref="B212:M213"/>
    <mergeCell ref="B214:M214"/>
    <mergeCell ref="B208:M208"/>
    <mergeCell ref="B201:M203"/>
    <mergeCell ref="K140:K143"/>
    <mergeCell ref="L140:L143"/>
    <mergeCell ref="M140:M143"/>
    <mergeCell ref="B209:M210"/>
    <mergeCell ref="B211:M211"/>
    <mergeCell ref="B205:M207"/>
    <mergeCell ref="N140:N143"/>
    <mergeCell ref="O140:O143"/>
    <mergeCell ref="A193:B193"/>
    <mergeCell ref="B151:M151"/>
    <mergeCell ref="B154:M154"/>
    <mergeCell ref="B156:M156"/>
    <mergeCell ref="B159:M160"/>
    <mergeCell ref="B152:M153"/>
    <mergeCell ref="B155:M155"/>
    <mergeCell ref="B157:M158"/>
    <mergeCell ref="B161:M162"/>
    <mergeCell ref="B175:M179"/>
    <mergeCell ref="B165:M166"/>
    <mergeCell ref="E121:F121"/>
    <mergeCell ref="E122:F122"/>
    <mergeCell ref="G126:H126"/>
    <mergeCell ref="G125:H125"/>
    <mergeCell ref="B92:M93"/>
    <mergeCell ref="B94:M95"/>
    <mergeCell ref="B97:M97"/>
    <mergeCell ref="C82:I82"/>
    <mergeCell ref="B85:M85"/>
    <mergeCell ref="B87:M87"/>
    <mergeCell ref="B89:M90"/>
    <mergeCell ref="B107:M108"/>
    <mergeCell ref="B98:M99"/>
    <mergeCell ref="B101:M101"/>
    <mergeCell ref="B100:M100"/>
    <mergeCell ref="B102:M102"/>
    <mergeCell ref="B104:M104"/>
    <mergeCell ref="B105:M105"/>
    <mergeCell ref="B106:M106"/>
    <mergeCell ref="B111:B112"/>
    <mergeCell ref="E112:E113"/>
    <mergeCell ref="F112:F113"/>
    <mergeCell ref="E50:F50"/>
    <mergeCell ref="E51:F51"/>
    <mergeCell ref="G44:H44"/>
    <mergeCell ref="G45:H45"/>
    <mergeCell ref="G46:H46"/>
    <mergeCell ref="D78:E78"/>
    <mergeCell ref="D79:E79"/>
    <mergeCell ref="D80:E80"/>
    <mergeCell ref="D81:E81"/>
    <mergeCell ref="D76:E76"/>
    <mergeCell ref="D77:E77"/>
    <mergeCell ref="B2:M4"/>
    <mergeCell ref="B5:M7"/>
    <mergeCell ref="B9:M11"/>
    <mergeCell ref="B13:M13"/>
    <mergeCell ref="B46:C46"/>
    <mergeCell ref="C41:M41"/>
    <mergeCell ref="C42:M42"/>
    <mergeCell ref="E15:F15"/>
    <mergeCell ref="B44:C44"/>
    <mergeCell ref="B45:C45"/>
    <mergeCell ref="B31:M33"/>
    <mergeCell ref="B35:M36"/>
    <mergeCell ref="B38:M38"/>
    <mergeCell ref="C39:M39"/>
    <mergeCell ref="C40:M40"/>
    <mergeCell ref="B27:M27"/>
    <mergeCell ref="B30:M30"/>
    <mergeCell ref="G247:L247"/>
    <mergeCell ref="G262:I262"/>
    <mergeCell ref="G263:I263"/>
    <mergeCell ref="F258:G258"/>
    <mergeCell ref="F259:G259"/>
    <mergeCell ref="F260:G260"/>
    <mergeCell ref="C265:D265"/>
    <mergeCell ref="C266:D266"/>
    <mergeCell ref="B282:M282"/>
    <mergeCell ref="B280:M281"/>
    <mergeCell ref="B279:M279"/>
    <mergeCell ref="B278:M278"/>
    <mergeCell ref="B277:M277"/>
    <mergeCell ref="E284:F284"/>
    <mergeCell ref="B289:C289"/>
    <mergeCell ref="E288:F288"/>
    <mergeCell ref="E290:F290"/>
    <mergeCell ref="B250:M251"/>
    <mergeCell ref="B255:M256"/>
    <mergeCell ref="B253:M254"/>
    <mergeCell ref="B252:M252"/>
    <mergeCell ref="B273:M275"/>
    <mergeCell ref="C268:D268"/>
    <mergeCell ref="F265:G265"/>
    <mergeCell ref="F266:G266"/>
    <mergeCell ref="F268:G268"/>
    <mergeCell ref="J270:N271"/>
    <mergeCell ref="J259:K259"/>
    <mergeCell ref="E303:F303"/>
    <mergeCell ref="E304:E306"/>
    <mergeCell ref="F304:F306"/>
    <mergeCell ref="G304:G306"/>
    <mergeCell ref="F291:F293"/>
    <mergeCell ref="G291:G293"/>
    <mergeCell ref="H291:H293"/>
    <mergeCell ref="I291:I293"/>
    <mergeCell ref="J291:J293"/>
    <mergeCell ref="E291:E293"/>
    <mergeCell ref="B333:M333"/>
    <mergeCell ref="B320:C320"/>
    <mergeCell ref="E321:F321"/>
    <mergeCell ref="E322:E324"/>
    <mergeCell ref="F322:F324"/>
    <mergeCell ref="G322:G324"/>
    <mergeCell ref="H304:H306"/>
    <mergeCell ref="I304:I306"/>
    <mergeCell ref="J304:J306"/>
    <mergeCell ref="B316:M317"/>
    <mergeCell ref="E319:F319"/>
    <mergeCell ref="B304:C304"/>
    <mergeCell ref="H336:H338"/>
    <mergeCell ref="I336:I338"/>
    <mergeCell ref="J336:J338"/>
    <mergeCell ref="E348:H348"/>
    <mergeCell ref="A217:A218"/>
    <mergeCell ref="A219:A220"/>
    <mergeCell ref="A224:A225"/>
    <mergeCell ref="A226:A227"/>
    <mergeCell ref="A234:A235"/>
    <mergeCell ref="A240:A241"/>
    <mergeCell ref="G248:L248"/>
    <mergeCell ref="E335:F335"/>
    <mergeCell ref="B336:C336"/>
    <mergeCell ref="E336:E338"/>
    <mergeCell ref="F336:F338"/>
    <mergeCell ref="G336:G338"/>
    <mergeCell ref="H322:H324"/>
    <mergeCell ref="I322:I324"/>
    <mergeCell ref="J322:J324"/>
    <mergeCell ref="E331:G331"/>
    <mergeCell ref="C267:D267"/>
    <mergeCell ref="F267:G267"/>
    <mergeCell ref="G270:H270"/>
    <mergeCell ref="G271:H271"/>
  </mergeCells>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5498-EC15-45A7-B84A-02EAB4398838}">
  <sheetPr>
    <tabColor rgb="FFFFC000"/>
  </sheetPr>
  <dimension ref="A1:AE80"/>
  <sheetViews>
    <sheetView tabSelected="1" topLeftCell="A62" zoomScale="80" zoomScaleNormal="80" workbookViewId="0">
      <selection activeCell="J76" sqref="J76"/>
    </sheetView>
  </sheetViews>
  <sheetFormatPr baseColWidth="10" defaultRowHeight="15" x14ac:dyDescent="0.25"/>
  <cols>
    <col min="1" max="1" width="13.140625" customWidth="1"/>
    <col min="2" max="2" width="17.5703125" customWidth="1"/>
    <col min="3" max="3" width="13.7109375" customWidth="1"/>
    <col min="8" max="8" width="15.140625" bestFit="1" customWidth="1"/>
    <col min="10" max="10" width="13.42578125" customWidth="1"/>
    <col min="16" max="16" width="13.42578125" customWidth="1"/>
    <col min="18" max="18" width="12.7109375" customWidth="1"/>
  </cols>
  <sheetData>
    <row r="1" spans="1:14" x14ac:dyDescent="0.25">
      <c r="A1" s="46" t="s">
        <v>144</v>
      </c>
    </row>
    <row r="2" spans="1:14" ht="15" customHeight="1" x14ac:dyDescent="0.25">
      <c r="B2" s="269" t="s">
        <v>138</v>
      </c>
      <c r="C2" s="269"/>
      <c r="D2" s="269"/>
      <c r="E2" s="269"/>
      <c r="F2" s="269"/>
      <c r="G2" s="269"/>
      <c r="H2" s="269"/>
      <c r="I2" s="269"/>
      <c r="J2" s="269"/>
      <c r="K2" s="269"/>
      <c r="L2" s="269"/>
      <c r="M2" s="269"/>
      <c r="N2" s="269"/>
    </row>
    <row r="3" spans="1:14" x14ac:dyDescent="0.25">
      <c r="B3" s="269"/>
      <c r="C3" s="269"/>
      <c r="D3" s="269"/>
      <c r="E3" s="269"/>
      <c r="F3" s="269"/>
      <c r="G3" s="269"/>
      <c r="H3" s="269"/>
      <c r="I3" s="269"/>
      <c r="J3" s="269"/>
      <c r="K3" s="269"/>
      <c r="L3" s="269"/>
      <c r="M3" s="269"/>
      <c r="N3" s="269"/>
    </row>
    <row r="4" spans="1:14" x14ac:dyDescent="0.25">
      <c r="B4" s="269"/>
      <c r="C4" s="269"/>
      <c r="D4" s="269"/>
      <c r="E4" s="269"/>
      <c r="F4" s="269"/>
      <c r="G4" s="269"/>
      <c r="H4" s="269"/>
      <c r="I4" s="269"/>
      <c r="J4" s="269"/>
      <c r="K4" s="269"/>
      <c r="L4" s="269"/>
      <c r="M4" s="269"/>
      <c r="N4" s="269"/>
    </row>
    <row r="5" spans="1:14" x14ac:dyDescent="0.25">
      <c r="B5" s="48"/>
      <c r="C5" s="48"/>
      <c r="D5" s="48"/>
      <c r="E5" s="48"/>
      <c r="F5" s="48"/>
      <c r="G5" s="48"/>
      <c r="H5" s="48"/>
      <c r="I5" s="48"/>
      <c r="J5" s="48"/>
      <c r="K5" s="48"/>
      <c r="L5" s="48"/>
      <c r="M5" s="48"/>
      <c r="N5" s="48"/>
    </row>
    <row r="6" spans="1:14" ht="15" customHeight="1" x14ac:dyDescent="0.25">
      <c r="B6" s="269" t="s">
        <v>139</v>
      </c>
      <c r="C6" s="269"/>
      <c r="D6" s="269"/>
      <c r="E6" s="269"/>
      <c r="F6" s="269"/>
      <c r="G6" s="269"/>
      <c r="H6" s="269"/>
      <c r="I6" s="269"/>
      <c r="J6" s="269"/>
      <c r="K6" s="269"/>
      <c r="L6" s="269"/>
      <c r="M6" s="269"/>
      <c r="N6" s="269"/>
    </row>
    <row r="7" spans="1:14" x14ac:dyDescent="0.25">
      <c r="B7" s="269"/>
      <c r="C7" s="269"/>
      <c r="D7" s="269"/>
      <c r="E7" s="269"/>
      <c r="F7" s="269"/>
      <c r="G7" s="269"/>
      <c r="H7" s="269"/>
      <c r="I7" s="269"/>
      <c r="J7" s="269"/>
      <c r="K7" s="269"/>
      <c r="L7" s="269"/>
      <c r="M7" s="269"/>
      <c r="N7" s="269"/>
    </row>
    <row r="8" spans="1:14" x14ac:dyDescent="0.25">
      <c r="B8" s="269"/>
      <c r="C8" s="269"/>
      <c r="D8" s="269"/>
      <c r="E8" s="269"/>
      <c r="F8" s="269"/>
      <c r="G8" s="269"/>
      <c r="H8" s="269"/>
      <c r="I8" s="269"/>
      <c r="J8" s="269"/>
      <c r="K8" s="269"/>
      <c r="L8" s="269"/>
      <c r="M8" s="269"/>
      <c r="N8" s="269"/>
    </row>
    <row r="9" spans="1:14" x14ac:dyDescent="0.25">
      <c r="B9" s="269"/>
      <c r="C9" s="269"/>
      <c r="D9" s="269"/>
      <c r="E9" s="269"/>
      <c r="F9" s="269"/>
      <c r="G9" s="269"/>
      <c r="H9" s="269"/>
      <c r="I9" s="269"/>
      <c r="J9" s="269"/>
      <c r="K9" s="269"/>
      <c r="L9" s="269"/>
      <c r="M9" s="269"/>
      <c r="N9" s="269"/>
    </row>
    <row r="10" spans="1:14" x14ac:dyDescent="0.25">
      <c r="B10" s="47"/>
      <c r="C10" s="47"/>
      <c r="D10" s="47"/>
      <c r="E10" s="47"/>
      <c r="F10" s="47"/>
      <c r="G10" s="47"/>
      <c r="H10" s="47"/>
      <c r="I10" s="47"/>
      <c r="J10" s="47"/>
      <c r="K10" s="47"/>
      <c r="L10" s="47"/>
      <c r="M10" s="47"/>
      <c r="N10" s="47"/>
    </row>
    <row r="11" spans="1:14" x14ac:dyDescent="0.25">
      <c r="B11" s="269" t="s">
        <v>140</v>
      </c>
      <c r="C11" s="269"/>
      <c r="D11" s="269"/>
      <c r="E11" s="269"/>
      <c r="F11" s="269"/>
      <c r="G11" s="269"/>
      <c r="H11" s="269"/>
      <c r="I11" s="269"/>
      <c r="J11" s="269"/>
      <c r="K11" s="269"/>
      <c r="L11" s="269"/>
      <c r="M11" s="269"/>
      <c r="N11" s="269"/>
    </row>
    <row r="12" spans="1:14" x14ac:dyDescent="0.25">
      <c r="B12" s="269"/>
      <c r="C12" s="269"/>
      <c r="D12" s="269"/>
      <c r="E12" s="269"/>
      <c r="F12" s="269"/>
      <c r="G12" s="269"/>
      <c r="H12" s="269"/>
      <c r="I12" s="269"/>
      <c r="J12" s="269"/>
      <c r="K12" s="269"/>
      <c r="L12" s="269"/>
      <c r="M12" s="269"/>
      <c r="N12" s="269"/>
    </row>
    <row r="13" spans="1:14" x14ac:dyDescent="0.25">
      <c r="B13" s="48"/>
      <c r="C13" s="48"/>
      <c r="D13" s="48"/>
      <c r="E13" s="48"/>
      <c r="F13" s="48"/>
      <c r="G13" s="48"/>
      <c r="H13" s="48"/>
      <c r="I13" s="48"/>
      <c r="J13" s="48"/>
      <c r="K13" s="48"/>
      <c r="L13" s="48"/>
      <c r="M13" s="48"/>
      <c r="N13" s="48"/>
    </row>
    <row r="14" spans="1:14" x14ac:dyDescent="0.25">
      <c r="B14" s="269" t="s">
        <v>141</v>
      </c>
      <c r="C14" s="269"/>
      <c r="D14" s="269"/>
      <c r="E14" s="269"/>
      <c r="F14" s="269"/>
      <c r="G14" s="269"/>
      <c r="H14" s="269"/>
      <c r="I14" s="269"/>
      <c r="J14" s="269"/>
      <c r="K14" s="269"/>
      <c r="L14" s="269"/>
      <c r="M14" s="269"/>
      <c r="N14" s="269"/>
    </row>
    <row r="15" spans="1:14" x14ac:dyDescent="0.25">
      <c r="B15" s="269"/>
      <c r="C15" s="269"/>
      <c r="D15" s="269"/>
      <c r="E15" s="269"/>
      <c r="F15" s="269"/>
      <c r="G15" s="269"/>
      <c r="H15" s="269"/>
      <c r="I15" s="269"/>
      <c r="J15" s="269"/>
      <c r="K15" s="269"/>
      <c r="L15" s="269"/>
      <c r="M15" s="269"/>
      <c r="N15" s="269"/>
    </row>
    <row r="16" spans="1:14" x14ac:dyDescent="0.25">
      <c r="B16" s="9"/>
      <c r="C16" s="9"/>
      <c r="D16" s="9"/>
      <c r="E16" s="9"/>
      <c r="F16" s="9"/>
      <c r="G16" s="9"/>
      <c r="H16" s="9"/>
      <c r="I16" s="9"/>
      <c r="J16" s="9"/>
      <c r="K16" s="9"/>
      <c r="L16" s="9"/>
      <c r="M16" s="9"/>
      <c r="N16" s="9"/>
    </row>
    <row r="17" spans="1:30" x14ac:dyDescent="0.25">
      <c r="B17" s="178" t="s">
        <v>274</v>
      </c>
      <c r="C17" s="216">
        <v>1000000</v>
      </c>
      <c r="D17" s="9"/>
      <c r="E17" s="9"/>
      <c r="F17" s="9"/>
      <c r="G17" s="9"/>
      <c r="H17" s="9"/>
      <c r="I17" s="9"/>
      <c r="J17" s="9"/>
      <c r="K17" s="9"/>
      <c r="L17" s="9"/>
      <c r="M17" s="9"/>
    </row>
    <row r="18" spans="1:30" ht="15" customHeight="1" x14ac:dyDescent="0.25">
      <c r="A18" s="101" t="s">
        <v>278</v>
      </c>
      <c r="B18" s="9"/>
      <c r="C18" s="9"/>
      <c r="D18" s="9"/>
      <c r="E18" s="9"/>
      <c r="F18" s="9"/>
      <c r="G18" s="216" t="s">
        <v>104</v>
      </c>
      <c r="H18" s="216"/>
      <c r="I18" s="346" t="s">
        <v>277</v>
      </c>
      <c r="J18" s="346"/>
      <c r="K18" s="333" t="s">
        <v>287</v>
      </c>
      <c r="L18" s="333"/>
      <c r="M18" s="9"/>
      <c r="N18" s="9"/>
      <c r="O18" s="176" t="s">
        <v>218</v>
      </c>
      <c r="P18" s="226">
        <v>0.21</v>
      </c>
    </row>
    <row r="19" spans="1:30" x14ac:dyDescent="0.25">
      <c r="B19" s="284" t="s">
        <v>275</v>
      </c>
      <c r="C19" s="284"/>
      <c r="D19" s="217">
        <v>0.21</v>
      </c>
      <c r="E19" s="216" t="s">
        <v>276</v>
      </c>
      <c r="F19" s="9"/>
      <c r="G19" s="216">
        <f>C17*(1+D19)^(18/18)</f>
        <v>1210000</v>
      </c>
      <c r="H19" s="224">
        <f>G19+D20</f>
        <v>1347300</v>
      </c>
      <c r="I19" s="348">
        <f>(H19/C17)-1</f>
        <v>0.34729999999999994</v>
      </c>
      <c r="J19" s="348"/>
      <c r="K19" s="349">
        <f>((I19+1)^(12/18))-1</f>
        <v>0.21985873353110086</v>
      </c>
      <c r="L19" s="349"/>
      <c r="M19" s="9"/>
      <c r="N19" s="216"/>
      <c r="O19" s="180">
        <v>0</v>
      </c>
      <c r="P19" s="180">
        <v>1</v>
      </c>
      <c r="R19" s="180" t="s">
        <v>293</v>
      </c>
      <c r="S19" s="184">
        <f>IRR(O23:P23)</f>
        <v>0.34730000000000016</v>
      </c>
    </row>
    <row r="20" spans="1:30" x14ac:dyDescent="0.25">
      <c r="B20" s="284" t="s">
        <v>291</v>
      </c>
      <c r="C20" s="284"/>
      <c r="D20" s="224">
        <v>137300</v>
      </c>
      <c r="E20" s="216"/>
      <c r="F20" s="9"/>
      <c r="G20" s="219"/>
      <c r="H20" s="219"/>
      <c r="I20" s="219"/>
      <c r="J20" s="219"/>
      <c r="K20" s="9"/>
      <c r="L20" s="9"/>
      <c r="M20" s="9"/>
      <c r="N20" s="216" t="s">
        <v>292</v>
      </c>
      <c r="O20" s="180">
        <v>-1000000</v>
      </c>
      <c r="P20" s="180"/>
      <c r="R20" s="182" t="s">
        <v>133</v>
      </c>
      <c r="S20" s="153">
        <f>((1+S19)^(12/18))-1</f>
        <v>0.21985873353110086</v>
      </c>
    </row>
    <row r="21" spans="1:30" x14ac:dyDescent="0.25">
      <c r="B21" s="76"/>
      <c r="C21" s="76"/>
      <c r="D21" s="223"/>
      <c r="E21" s="219"/>
      <c r="F21" s="9"/>
      <c r="G21" s="219"/>
      <c r="H21" s="219"/>
      <c r="I21" s="219"/>
      <c r="J21" s="219"/>
      <c r="K21" s="9"/>
      <c r="L21" s="9"/>
      <c r="M21" s="9"/>
      <c r="N21" s="216" t="s">
        <v>20</v>
      </c>
      <c r="O21" s="180"/>
      <c r="P21" s="180">
        <f>-((O20*P18)+O20)</f>
        <v>1210000</v>
      </c>
    </row>
    <row r="22" spans="1:30" x14ac:dyDescent="0.25">
      <c r="B22" s="76"/>
      <c r="C22" s="76"/>
      <c r="D22" s="223"/>
      <c r="E22" s="219"/>
      <c r="F22" s="9"/>
      <c r="G22" s="219"/>
      <c r="H22" s="219"/>
      <c r="I22" s="219"/>
      <c r="J22" s="219"/>
      <c r="K22" s="9"/>
      <c r="L22" s="9"/>
      <c r="M22" s="9"/>
      <c r="N22" s="216"/>
      <c r="O22" s="180"/>
      <c r="P22" s="225">
        <f>D20</f>
        <v>137300</v>
      </c>
    </row>
    <row r="23" spans="1:30" x14ac:dyDescent="0.25">
      <c r="B23" s="76"/>
      <c r="C23" s="76"/>
      <c r="D23" s="223"/>
      <c r="E23" s="219"/>
      <c r="F23" s="9"/>
      <c r="G23" s="219"/>
      <c r="H23" s="219"/>
      <c r="I23" s="219"/>
      <c r="J23" s="219"/>
      <c r="K23" s="9"/>
      <c r="L23" s="9"/>
      <c r="M23" s="9"/>
      <c r="N23" s="216" t="s">
        <v>50</v>
      </c>
      <c r="O23" s="180">
        <f>SUM(O20:O22)</f>
        <v>-1000000</v>
      </c>
      <c r="P23" s="180">
        <f>SUM(P20:P22)</f>
        <v>1347300</v>
      </c>
    </row>
    <row r="24" spans="1:30" x14ac:dyDescent="0.25">
      <c r="B24" s="76"/>
      <c r="C24" s="76"/>
      <c r="D24" s="218"/>
      <c r="E24" s="219"/>
      <c r="F24" s="9"/>
      <c r="G24" s="219"/>
      <c r="H24" s="219"/>
      <c r="I24" s="219"/>
      <c r="J24" s="219"/>
      <c r="K24" s="9"/>
      <c r="L24" s="9"/>
      <c r="M24" s="9"/>
    </row>
    <row r="25" spans="1:30" x14ac:dyDescent="0.25">
      <c r="A25" s="101" t="s">
        <v>279</v>
      </c>
      <c r="B25" s="180" t="s">
        <v>100</v>
      </c>
      <c r="C25" s="180">
        <v>1000000</v>
      </c>
      <c r="D25" s="218"/>
      <c r="E25" s="219"/>
      <c r="F25" s="9"/>
      <c r="G25" s="216" t="s">
        <v>114</v>
      </c>
      <c r="H25" s="219"/>
      <c r="I25" s="219"/>
      <c r="J25" s="219"/>
      <c r="K25" s="9"/>
      <c r="L25" s="9"/>
      <c r="M25" s="9"/>
    </row>
    <row r="26" spans="1:30" x14ac:dyDescent="0.25">
      <c r="B26" s="180" t="s">
        <v>280</v>
      </c>
      <c r="C26" s="181">
        <v>0.21</v>
      </c>
      <c r="D26" s="217" t="s">
        <v>204</v>
      </c>
      <c r="E26" s="346" t="s">
        <v>281</v>
      </c>
      <c r="F26" s="347"/>
      <c r="G26" s="216">
        <f>6/12</f>
        <v>0.5</v>
      </c>
      <c r="H26" s="219"/>
      <c r="I26" s="284" t="s">
        <v>286</v>
      </c>
      <c r="J26" s="284"/>
      <c r="K26" s="220">
        <f>((1+C26)^(G26)*(1+C27)^(G27)*(1+C28)^(G28))-1</f>
        <v>0.31826254540639454</v>
      </c>
      <c r="L26" s="9"/>
      <c r="M26" s="9"/>
      <c r="N26" s="9"/>
      <c r="O26" s="101" t="s">
        <v>288</v>
      </c>
      <c r="P26" s="236"/>
      <c r="Q26" s="236">
        <v>1</v>
      </c>
      <c r="R26" s="236">
        <f>Q26+1</f>
        <v>2</v>
      </c>
      <c r="S26" s="236">
        <f t="shared" ref="S26:AC26" si="0">R26+1</f>
        <v>3</v>
      </c>
      <c r="T26" s="236">
        <f t="shared" si="0"/>
        <v>4</v>
      </c>
      <c r="U26" s="236">
        <f t="shared" si="0"/>
        <v>5</v>
      </c>
      <c r="V26" s="236">
        <f t="shared" si="0"/>
        <v>6</v>
      </c>
      <c r="W26" s="236">
        <f t="shared" si="0"/>
        <v>7</v>
      </c>
      <c r="X26" s="236">
        <f t="shared" si="0"/>
        <v>8</v>
      </c>
      <c r="Y26" s="236">
        <f t="shared" si="0"/>
        <v>9</v>
      </c>
      <c r="Z26" s="236">
        <f>Y26+1</f>
        <v>10</v>
      </c>
      <c r="AA26" s="236">
        <f t="shared" si="0"/>
        <v>11</v>
      </c>
      <c r="AB26" s="236">
        <f>AA26+1</f>
        <v>12</v>
      </c>
      <c r="AC26" s="236">
        <f t="shared" si="0"/>
        <v>13</v>
      </c>
    </row>
    <row r="27" spans="1:30" x14ac:dyDescent="0.25">
      <c r="B27" s="180" t="s">
        <v>282</v>
      </c>
      <c r="C27" s="181">
        <v>0.23</v>
      </c>
      <c r="D27" s="217" t="s">
        <v>204</v>
      </c>
      <c r="E27" s="346" t="s">
        <v>284</v>
      </c>
      <c r="F27" s="347"/>
      <c r="G27" s="216">
        <f t="shared" ref="G27" si="1">6/12</f>
        <v>0.5</v>
      </c>
      <c r="H27" s="219"/>
      <c r="I27" s="333" t="s">
        <v>287</v>
      </c>
      <c r="J27" s="333"/>
      <c r="K27" s="222">
        <f>((K26+1)^(12/18))-1</f>
        <v>0.20226796522157486</v>
      </c>
      <c r="L27" s="9"/>
      <c r="M27" s="9"/>
      <c r="N27" s="9"/>
      <c r="P27" s="236" t="s">
        <v>20</v>
      </c>
      <c r="Q27" s="236"/>
      <c r="R27" s="236">
        <f>$C$31</f>
        <v>14000</v>
      </c>
      <c r="S27" s="236">
        <f t="shared" ref="S27:AB27" si="2">$C$31</f>
        <v>14000</v>
      </c>
      <c r="T27" s="236">
        <f t="shared" si="2"/>
        <v>14000</v>
      </c>
      <c r="U27" s="236">
        <f t="shared" si="2"/>
        <v>14000</v>
      </c>
      <c r="V27" s="236">
        <f t="shared" si="2"/>
        <v>14000</v>
      </c>
      <c r="W27" s="236">
        <f t="shared" si="2"/>
        <v>14000</v>
      </c>
      <c r="X27" s="236">
        <f t="shared" si="2"/>
        <v>14000</v>
      </c>
      <c r="Y27" s="236">
        <f t="shared" si="2"/>
        <v>14000</v>
      </c>
      <c r="Z27" s="236">
        <f t="shared" si="2"/>
        <v>14000</v>
      </c>
      <c r="AA27" s="236">
        <f t="shared" si="2"/>
        <v>14000</v>
      </c>
      <c r="AB27" s="236">
        <f t="shared" si="2"/>
        <v>14000</v>
      </c>
      <c r="AC27" s="236">
        <f>$C$31+-Q28</f>
        <v>1014000</v>
      </c>
    </row>
    <row r="28" spans="1:30" x14ac:dyDescent="0.25">
      <c r="B28" s="180" t="s">
        <v>283</v>
      </c>
      <c r="C28" s="184">
        <v>1.2999999999999999E-2</v>
      </c>
      <c r="D28" s="217" t="s">
        <v>206</v>
      </c>
      <c r="E28" s="346" t="s">
        <v>285</v>
      </c>
      <c r="F28" s="347"/>
      <c r="G28" s="216">
        <f>6/1</f>
        <v>6</v>
      </c>
      <c r="H28" s="219"/>
      <c r="I28" s="219"/>
      <c r="J28" s="219"/>
      <c r="K28" s="9"/>
      <c r="L28" s="9"/>
      <c r="M28" s="9"/>
      <c r="N28" s="9"/>
      <c r="P28" s="236" t="s">
        <v>19</v>
      </c>
      <c r="Q28" s="236">
        <f>-C32</f>
        <v>-1000000</v>
      </c>
      <c r="R28" s="236"/>
      <c r="S28" s="236"/>
      <c r="T28" s="236"/>
      <c r="U28" s="236"/>
      <c r="V28" s="236"/>
      <c r="W28" s="236"/>
      <c r="X28" s="236"/>
      <c r="Y28" s="236"/>
      <c r="Z28" s="236"/>
      <c r="AA28" s="236"/>
      <c r="AB28" s="236"/>
      <c r="AC28" s="236"/>
    </row>
    <row r="29" spans="1:30" x14ac:dyDescent="0.25">
      <c r="B29" s="76"/>
      <c r="C29" s="76"/>
      <c r="D29" s="218"/>
      <c r="E29" s="219"/>
      <c r="F29" s="9"/>
      <c r="G29" s="219"/>
      <c r="H29" s="219"/>
      <c r="I29" s="219"/>
      <c r="J29" s="247"/>
      <c r="K29" s="351" t="s">
        <v>317</v>
      </c>
      <c r="L29" s="351"/>
      <c r="M29" s="351" t="s">
        <v>287</v>
      </c>
      <c r="N29" s="351"/>
      <c r="P29" s="236" t="s">
        <v>50</v>
      </c>
      <c r="Q29" s="236">
        <f>SUM(Q27:Q28)</f>
        <v>-1000000</v>
      </c>
      <c r="R29" s="236">
        <f t="shared" ref="R29:AC29" si="3">SUM(R27:R28)</f>
        <v>14000</v>
      </c>
      <c r="S29" s="236">
        <f t="shared" si="3"/>
        <v>14000</v>
      </c>
      <c r="T29" s="236">
        <f t="shared" si="3"/>
        <v>14000</v>
      </c>
      <c r="U29" s="236">
        <f t="shared" si="3"/>
        <v>14000</v>
      </c>
      <c r="V29" s="236">
        <f t="shared" si="3"/>
        <v>14000</v>
      </c>
      <c r="W29" s="236">
        <f t="shared" si="3"/>
        <v>14000</v>
      </c>
      <c r="X29" s="236">
        <f t="shared" si="3"/>
        <v>14000</v>
      </c>
      <c r="Y29" s="236">
        <f t="shared" si="3"/>
        <v>14000</v>
      </c>
      <c r="Z29" s="236">
        <f t="shared" si="3"/>
        <v>14000</v>
      </c>
      <c r="AA29" s="236">
        <f t="shared" si="3"/>
        <v>14000</v>
      </c>
      <c r="AB29" s="236">
        <f t="shared" si="3"/>
        <v>14000</v>
      </c>
      <c r="AC29" s="236">
        <f t="shared" si="3"/>
        <v>1014000</v>
      </c>
      <c r="AD29">
        <f>SUM(Q29:AC29)</f>
        <v>168000</v>
      </c>
    </row>
    <row r="30" spans="1:30" x14ac:dyDescent="0.25">
      <c r="A30" s="101" t="s">
        <v>288</v>
      </c>
      <c r="B30" s="180" t="s">
        <v>289</v>
      </c>
      <c r="C30" s="180">
        <v>6</v>
      </c>
      <c r="D30" s="218"/>
      <c r="E30" s="346" t="s">
        <v>200</v>
      </c>
      <c r="F30" s="346"/>
      <c r="G30" s="221">
        <f>C31/C32</f>
        <v>1.4E-2</v>
      </c>
      <c r="H30" s="219"/>
      <c r="I30" s="219"/>
      <c r="J30" s="247" t="s">
        <v>242</v>
      </c>
      <c r="K30" s="352">
        <f>$I$19</f>
        <v>0.34729999999999994</v>
      </c>
      <c r="L30" s="345"/>
      <c r="M30" s="352">
        <f>$K$19</f>
        <v>0.21985873353110086</v>
      </c>
      <c r="N30" s="345"/>
      <c r="P30" s="5"/>
      <c r="Q30" s="5"/>
      <c r="R30" s="5"/>
      <c r="S30" s="5"/>
      <c r="T30" s="5"/>
      <c r="U30" s="5"/>
      <c r="V30" s="5"/>
      <c r="W30" s="5"/>
      <c r="X30" s="5"/>
      <c r="Y30" s="5"/>
      <c r="Z30" s="5"/>
      <c r="AA30" s="5"/>
      <c r="AB30" s="5"/>
      <c r="AC30" s="5"/>
    </row>
    <row r="31" spans="1:30" ht="15" customHeight="1" x14ac:dyDescent="0.25">
      <c r="B31" s="180" t="s">
        <v>290</v>
      </c>
      <c r="C31" s="180">
        <v>14000</v>
      </c>
      <c r="D31" s="218"/>
      <c r="E31" s="333" t="s">
        <v>287</v>
      </c>
      <c r="F31" s="333"/>
      <c r="G31" s="222">
        <f>((G30+1)^(12/1))-1</f>
        <v>0.18155912891812287</v>
      </c>
      <c r="H31" s="219"/>
      <c r="I31" s="219"/>
      <c r="J31" s="247" t="s">
        <v>243</v>
      </c>
      <c r="K31" s="352">
        <f>$K$26</f>
        <v>0.31826254540639454</v>
      </c>
      <c r="L31" s="345"/>
      <c r="M31" s="352">
        <f>$K$27</f>
        <v>0.20226796522157486</v>
      </c>
      <c r="N31" s="345"/>
      <c r="P31" s="236" t="s">
        <v>262</v>
      </c>
      <c r="Q31" s="236">
        <v>0</v>
      </c>
      <c r="R31" s="236">
        <f>Q31+1</f>
        <v>1</v>
      </c>
      <c r="S31" s="236">
        <f t="shared" ref="S31:AD31" si="4">R31+1</f>
        <v>2</v>
      </c>
      <c r="T31" s="236">
        <f t="shared" si="4"/>
        <v>3</v>
      </c>
      <c r="U31" s="236">
        <f t="shared" si="4"/>
        <v>4</v>
      </c>
      <c r="V31" s="236">
        <f t="shared" si="4"/>
        <v>5</v>
      </c>
      <c r="W31" s="236">
        <f t="shared" si="4"/>
        <v>6</v>
      </c>
      <c r="X31" s="236">
        <f t="shared" si="4"/>
        <v>7</v>
      </c>
      <c r="Y31" s="236">
        <f t="shared" si="4"/>
        <v>8</v>
      </c>
      <c r="Z31" s="236">
        <f t="shared" si="4"/>
        <v>9</v>
      </c>
      <c r="AA31" s="236">
        <f t="shared" si="4"/>
        <v>10</v>
      </c>
      <c r="AB31" s="236">
        <f t="shared" si="4"/>
        <v>11</v>
      </c>
      <c r="AC31" s="236">
        <f t="shared" si="4"/>
        <v>12</v>
      </c>
      <c r="AD31" s="236">
        <f t="shared" si="4"/>
        <v>13</v>
      </c>
    </row>
    <row r="32" spans="1:30" x14ac:dyDescent="0.25">
      <c r="B32" s="183" t="s">
        <v>49</v>
      </c>
      <c r="C32" s="183">
        <v>1000000</v>
      </c>
      <c r="E32" s="333" t="s">
        <v>316</v>
      </c>
      <c r="F32" s="333"/>
      <c r="G32" s="240">
        <f>((G30+1)^(18/1))-1</f>
        <v>0.2843494082346143</v>
      </c>
      <c r="J32" s="247" t="s">
        <v>318</v>
      </c>
      <c r="K32" s="352">
        <f>$G$32</f>
        <v>0.2843494082346143</v>
      </c>
      <c r="L32" s="345"/>
      <c r="M32" s="352">
        <f>$G$31</f>
        <v>0.18155912891812287</v>
      </c>
      <c r="N32" s="345"/>
      <c r="P32" s="236" t="s">
        <v>20</v>
      </c>
      <c r="Q32" s="236"/>
      <c r="R32" s="236">
        <f>(Q27*0.5)+(R27*0.5)</f>
        <v>7000</v>
      </c>
      <c r="S32" s="236">
        <f>(R27*0.5)+(S27*0.5)</f>
        <v>14000</v>
      </c>
      <c r="T32" s="236">
        <f t="shared" ref="T32:AB32" si="5">(S27*0.5)+(T27*0.5)</f>
        <v>14000</v>
      </c>
      <c r="U32" s="236">
        <f t="shared" si="5"/>
        <v>14000</v>
      </c>
      <c r="V32" s="236">
        <f t="shared" si="5"/>
        <v>14000</v>
      </c>
      <c r="W32" s="236">
        <f t="shared" si="5"/>
        <v>14000</v>
      </c>
      <c r="X32" s="236">
        <f t="shared" si="5"/>
        <v>14000</v>
      </c>
      <c r="Y32" s="236">
        <f t="shared" si="5"/>
        <v>14000</v>
      </c>
      <c r="Z32" s="236">
        <f t="shared" si="5"/>
        <v>14000</v>
      </c>
      <c r="AA32" s="236">
        <f t="shared" si="5"/>
        <v>14000</v>
      </c>
      <c r="AB32" s="236">
        <f t="shared" si="5"/>
        <v>14000</v>
      </c>
      <c r="AC32" s="236">
        <f>(AB27*0.5)+(AC27*0.5)</f>
        <v>514000</v>
      </c>
      <c r="AD32" s="236">
        <f>(AC27*0.5)+(AD27*0.5)</f>
        <v>507000</v>
      </c>
    </row>
    <row r="33" spans="1:31" x14ac:dyDescent="0.25">
      <c r="B33" s="88"/>
      <c r="C33" s="88"/>
      <c r="P33" s="236" t="s">
        <v>19</v>
      </c>
      <c r="Q33" s="236">
        <f>$Q$28*0.5</f>
        <v>-500000</v>
      </c>
      <c r="R33" s="236">
        <f>$Q$28*0.5</f>
        <v>-500000</v>
      </c>
      <c r="S33" s="236"/>
      <c r="T33" s="236"/>
      <c r="U33" s="236"/>
      <c r="V33" s="236"/>
      <c r="W33" s="236"/>
      <c r="X33" s="236"/>
      <c r="Y33" s="236"/>
      <c r="Z33" s="236"/>
      <c r="AA33" s="236"/>
      <c r="AB33" s="236"/>
      <c r="AC33" s="236"/>
      <c r="AD33" s="236"/>
    </row>
    <row r="34" spans="1:31" x14ac:dyDescent="0.25">
      <c r="B34" s="305" t="s">
        <v>294</v>
      </c>
      <c r="C34" s="305"/>
      <c r="D34" s="305"/>
      <c r="E34" s="305"/>
      <c r="F34" s="305"/>
      <c r="G34" s="305"/>
      <c r="H34" s="305"/>
      <c r="I34" s="305"/>
      <c r="J34" s="227"/>
      <c r="K34" s="227"/>
      <c r="L34" s="227"/>
      <c r="M34" s="227"/>
      <c r="N34" s="227"/>
      <c r="O34" s="227"/>
      <c r="P34" s="236" t="s">
        <v>50</v>
      </c>
      <c r="Q34" s="236">
        <f>SUM(Q32:Q33)</f>
        <v>-500000</v>
      </c>
      <c r="R34" s="236">
        <f t="shared" ref="R34:AC34" si="6">SUM(R32:R33)</f>
        <v>-493000</v>
      </c>
      <c r="S34" s="236">
        <f t="shared" si="6"/>
        <v>14000</v>
      </c>
      <c r="T34" s="236">
        <f t="shared" si="6"/>
        <v>14000</v>
      </c>
      <c r="U34" s="236">
        <f t="shared" si="6"/>
        <v>14000</v>
      </c>
      <c r="V34" s="236">
        <f t="shared" si="6"/>
        <v>14000</v>
      </c>
      <c r="W34" s="236">
        <f t="shared" si="6"/>
        <v>14000</v>
      </c>
      <c r="X34" s="236">
        <f t="shared" si="6"/>
        <v>14000</v>
      </c>
      <c r="Y34" s="236">
        <f t="shared" si="6"/>
        <v>14000</v>
      </c>
      <c r="Z34" s="236">
        <f t="shared" si="6"/>
        <v>14000</v>
      </c>
      <c r="AA34" s="236">
        <f t="shared" si="6"/>
        <v>14000</v>
      </c>
      <c r="AB34" s="236">
        <f t="shared" si="6"/>
        <v>14000</v>
      </c>
      <c r="AC34" s="236">
        <f t="shared" si="6"/>
        <v>514000</v>
      </c>
      <c r="AD34" s="236">
        <f>SUM(AD32:AD33)</f>
        <v>507000</v>
      </c>
      <c r="AE34">
        <f>SUM(Q34:AD34)</f>
        <v>168000</v>
      </c>
    </row>
    <row r="35" spans="1:31" x14ac:dyDescent="0.25">
      <c r="B35" s="263"/>
      <c r="C35" s="263"/>
      <c r="D35" s="263"/>
      <c r="E35" s="263"/>
      <c r="F35" s="263"/>
      <c r="G35" s="263"/>
      <c r="H35" s="263"/>
      <c r="I35" s="263"/>
      <c r="J35" s="227"/>
      <c r="K35" s="227"/>
      <c r="L35" s="227"/>
      <c r="M35" s="227"/>
      <c r="N35" s="227"/>
      <c r="O35" s="227"/>
      <c r="P35" s="233" t="s">
        <v>319</v>
      </c>
      <c r="Q35" s="193">
        <f>IRR(Q34:AD34)</f>
        <v>1.4000000000000234E-2</v>
      </c>
      <c r="R35" s="76"/>
      <c r="S35" s="76"/>
      <c r="T35" s="76"/>
      <c r="U35" s="76"/>
      <c r="V35" s="76"/>
      <c r="W35" s="76"/>
      <c r="X35" s="76"/>
      <c r="Y35" s="76"/>
      <c r="Z35" s="76"/>
      <c r="AA35" s="76"/>
      <c r="AB35" s="76"/>
      <c r="AC35" s="76"/>
      <c r="AD35" s="76"/>
    </row>
    <row r="36" spans="1:31" x14ac:dyDescent="0.25">
      <c r="B36" s="263"/>
      <c r="C36" s="263"/>
      <c r="D36" s="263"/>
      <c r="E36" s="263"/>
      <c r="F36" s="263"/>
      <c r="G36" s="263"/>
      <c r="H36" s="263"/>
      <c r="I36" s="263"/>
      <c r="J36" s="227"/>
      <c r="K36" s="227"/>
      <c r="L36" s="227"/>
      <c r="M36" s="227"/>
      <c r="N36" s="227"/>
      <c r="O36" s="227"/>
      <c r="P36" s="233" t="s">
        <v>320</v>
      </c>
      <c r="Q36" s="252">
        <f>((1+Q35)^(12/1))-1</f>
        <v>0.18155912891812576</v>
      </c>
      <c r="R36" s="76"/>
      <c r="S36" s="76"/>
      <c r="T36" s="76"/>
      <c r="U36" s="76"/>
      <c r="V36" s="76"/>
      <c r="W36" s="76"/>
      <c r="X36" s="76"/>
      <c r="Y36" s="76"/>
      <c r="Z36" s="76"/>
      <c r="AA36" s="76"/>
      <c r="AB36" s="76"/>
      <c r="AC36" s="76"/>
      <c r="AD36" s="76"/>
    </row>
    <row r="37" spans="1:31" x14ac:dyDescent="0.25">
      <c r="B37" s="227"/>
      <c r="C37" s="227"/>
      <c r="D37" s="227"/>
      <c r="E37" s="227"/>
      <c r="F37" s="227"/>
      <c r="G37" s="227"/>
      <c r="H37" s="227"/>
      <c r="I37" s="227"/>
      <c r="J37" s="227"/>
      <c r="K37" s="227"/>
      <c r="L37" s="227"/>
      <c r="M37" s="227"/>
      <c r="N37" s="227"/>
      <c r="O37" s="227"/>
      <c r="P37" s="233" t="s">
        <v>293</v>
      </c>
      <c r="Q37" s="252">
        <f>((1+Q35)^(18/1))-1</f>
        <v>0.28434940823461874</v>
      </c>
    </row>
    <row r="38" spans="1:31" x14ac:dyDescent="0.25">
      <c r="A38" s="46" t="s">
        <v>143</v>
      </c>
    </row>
    <row r="39" spans="1:31" x14ac:dyDescent="0.25">
      <c r="B39" s="269" t="s">
        <v>142</v>
      </c>
      <c r="C39" s="269"/>
      <c r="D39" s="269"/>
      <c r="E39" s="269"/>
      <c r="F39" s="269"/>
      <c r="G39" s="269"/>
      <c r="H39" s="269"/>
      <c r="I39" s="269"/>
      <c r="J39" s="269"/>
      <c r="K39" s="269"/>
      <c r="L39" s="269"/>
      <c r="M39" s="269"/>
      <c r="N39" s="269"/>
    </row>
    <row r="40" spans="1:31" x14ac:dyDescent="0.25">
      <c r="B40" s="269"/>
      <c r="C40" s="269"/>
      <c r="D40" s="269"/>
      <c r="E40" s="269"/>
      <c r="F40" s="269"/>
      <c r="G40" s="269"/>
      <c r="H40" s="269"/>
      <c r="I40" s="269"/>
      <c r="J40" s="269"/>
      <c r="K40" s="269"/>
      <c r="L40" s="269"/>
      <c r="M40" s="269"/>
      <c r="N40" s="269"/>
    </row>
    <row r="41" spans="1:31" x14ac:dyDescent="0.25">
      <c r="B41" s="269"/>
      <c r="C41" s="269"/>
      <c r="D41" s="269"/>
      <c r="E41" s="269"/>
      <c r="F41" s="269"/>
      <c r="G41" s="269"/>
      <c r="H41" s="269"/>
      <c r="I41" s="269"/>
      <c r="J41" s="269"/>
      <c r="K41" s="269"/>
      <c r="L41" s="269"/>
      <c r="M41" s="269"/>
      <c r="N41" s="269"/>
    </row>
    <row r="42" spans="1:31" x14ac:dyDescent="0.25">
      <c r="B42" s="269"/>
      <c r="C42" s="269"/>
      <c r="D42" s="269"/>
      <c r="E42" s="269"/>
      <c r="F42" s="269"/>
      <c r="G42" s="269"/>
      <c r="H42" s="269"/>
      <c r="I42" s="269"/>
      <c r="J42" s="269"/>
      <c r="K42" s="269"/>
      <c r="L42" s="269"/>
      <c r="M42" s="269"/>
      <c r="N42" s="269"/>
    </row>
    <row r="44" spans="1:31" x14ac:dyDescent="0.25">
      <c r="B44" s="284" t="s">
        <v>220</v>
      </c>
      <c r="C44" s="284"/>
      <c r="D44" s="180">
        <v>3000000</v>
      </c>
    </row>
    <row r="45" spans="1:31" x14ac:dyDescent="0.25">
      <c r="B45" s="284" t="s">
        <v>295</v>
      </c>
      <c r="C45" s="284"/>
      <c r="D45" s="180">
        <f>$D$44*(2/3)</f>
        <v>2000000</v>
      </c>
    </row>
    <row r="46" spans="1:31" x14ac:dyDescent="0.25">
      <c r="B46" s="284" t="s">
        <v>296</v>
      </c>
      <c r="C46" s="284"/>
      <c r="D46" s="180">
        <f>$D$44*(1/3)</f>
        <v>1000000</v>
      </c>
    </row>
    <row r="48" spans="1:31" x14ac:dyDescent="0.25">
      <c r="B48" s="284" t="s">
        <v>297</v>
      </c>
      <c r="C48" s="284"/>
      <c r="D48" s="180">
        <v>250000</v>
      </c>
      <c r="G48" s="350" t="s">
        <v>300</v>
      </c>
      <c r="H48" s="350"/>
      <c r="I48" s="350"/>
    </row>
    <row r="49" spans="1:15" x14ac:dyDescent="0.25">
      <c r="B49" s="284" t="s">
        <v>298</v>
      </c>
      <c r="C49" s="284"/>
      <c r="D49" s="180">
        <v>1200000</v>
      </c>
      <c r="G49" s="353" t="s">
        <v>299</v>
      </c>
      <c r="H49" s="353"/>
      <c r="I49" s="353"/>
    </row>
    <row r="51" spans="1:15" x14ac:dyDescent="0.25">
      <c r="B51" s="180"/>
      <c r="C51" s="168">
        <v>1</v>
      </c>
      <c r="D51" s="168">
        <f t="shared" ref="D51:I51" si="7">C51+1</f>
        <v>2</v>
      </c>
      <c r="E51" s="228">
        <f t="shared" si="7"/>
        <v>3</v>
      </c>
      <c r="F51" s="228">
        <f t="shared" si="7"/>
        <v>4</v>
      </c>
      <c r="G51" s="228">
        <f t="shared" si="7"/>
        <v>5</v>
      </c>
      <c r="H51" s="228">
        <f t="shared" si="7"/>
        <v>6</v>
      </c>
      <c r="I51" s="228">
        <f t="shared" si="7"/>
        <v>7</v>
      </c>
      <c r="J51" s="229"/>
      <c r="K51" s="229"/>
      <c r="L51" s="229"/>
      <c r="M51" s="229"/>
      <c r="N51" s="229"/>
    </row>
    <row r="52" spans="1:15" x14ac:dyDescent="0.25">
      <c r="A52" s="300" t="s">
        <v>19</v>
      </c>
      <c r="B52" s="176" t="s">
        <v>220</v>
      </c>
      <c r="C52" s="180">
        <f>-$D$45</f>
        <v>-2000000</v>
      </c>
      <c r="D52" s="180">
        <f>-$D$46</f>
        <v>-1000000</v>
      </c>
      <c r="E52" s="180"/>
      <c r="F52" s="180"/>
      <c r="G52" s="180"/>
      <c r="H52" s="180"/>
      <c r="I52" s="180"/>
      <c r="J52" s="76"/>
      <c r="K52" s="76"/>
      <c r="L52" s="76"/>
      <c r="M52" s="76"/>
      <c r="N52" s="76"/>
      <c r="O52" s="13"/>
    </row>
    <row r="53" spans="1:15" x14ac:dyDescent="0.25">
      <c r="A53" s="300"/>
      <c r="B53" s="176" t="s">
        <v>301</v>
      </c>
      <c r="C53" s="180"/>
      <c r="D53" s="180"/>
      <c r="E53" s="180">
        <f>-$D$48</f>
        <v>-250000</v>
      </c>
      <c r="F53" s="180">
        <f t="shared" ref="F53:I53" si="8">-$D$48</f>
        <v>-250000</v>
      </c>
      <c r="G53" s="180">
        <f t="shared" si="8"/>
        <v>-250000</v>
      </c>
      <c r="H53" s="180">
        <f t="shared" si="8"/>
        <v>-250000</v>
      </c>
      <c r="I53" s="180">
        <f t="shared" si="8"/>
        <v>-250000</v>
      </c>
      <c r="J53" s="76"/>
      <c r="K53" s="76"/>
      <c r="L53" s="76"/>
      <c r="M53" s="76"/>
      <c r="N53" s="76"/>
      <c r="O53" s="13"/>
    </row>
    <row r="54" spans="1:15" x14ac:dyDescent="0.25">
      <c r="A54" s="208" t="s">
        <v>20</v>
      </c>
      <c r="B54" s="180" t="s">
        <v>261</v>
      </c>
      <c r="C54" s="180"/>
      <c r="D54" s="180"/>
      <c r="E54" s="180">
        <f>$D$49</f>
        <v>1200000</v>
      </c>
      <c r="F54" s="180">
        <f t="shared" ref="F54:I54" si="9">$D$49</f>
        <v>1200000</v>
      </c>
      <c r="G54" s="180">
        <f t="shared" si="9"/>
        <v>1200000</v>
      </c>
      <c r="H54" s="180">
        <f t="shared" si="9"/>
        <v>1200000</v>
      </c>
      <c r="I54" s="180">
        <f t="shared" si="9"/>
        <v>1200000</v>
      </c>
      <c r="J54" s="76"/>
      <c r="K54" s="76"/>
      <c r="L54" s="76"/>
      <c r="M54" s="76"/>
      <c r="N54" s="76"/>
      <c r="O54" s="13"/>
    </row>
    <row r="55" spans="1:15" x14ac:dyDescent="0.25">
      <c r="A55" s="204"/>
      <c r="B55" s="183" t="s">
        <v>50</v>
      </c>
      <c r="C55" s="180">
        <f>SUM(C52:C54)</f>
        <v>-2000000</v>
      </c>
      <c r="D55" s="180">
        <f t="shared" ref="D55:I55" si="10">SUM(D52:D54)</f>
        <v>-1000000</v>
      </c>
      <c r="E55" s="180">
        <f t="shared" si="10"/>
        <v>950000</v>
      </c>
      <c r="F55" s="180">
        <f t="shared" si="10"/>
        <v>950000</v>
      </c>
      <c r="G55" s="180">
        <f t="shared" si="10"/>
        <v>950000</v>
      </c>
      <c r="H55" s="180">
        <f t="shared" si="10"/>
        <v>950000</v>
      </c>
      <c r="I55" s="180">
        <f t="shared" si="10"/>
        <v>950000</v>
      </c>
      <c r="J55" s="76">
        <f>SUM(C55:I55)</f>
        <v>1750000</v>
      </c>
      <c r="K55" s="76"/>
      <c r="L55" s="76"/>
      <c r="M55" s="76"/>
      <c r="N55" s="76"/>
      <c r="O55" s="88"/>
    </row>
    <row r="56" spans="1:15" x14ac:dyDescent="0.25">
      <c r="A56" s="205"/>
      <c r="B56" s="205"/>
      <c r="C56" s="76"/>
      <c r="D56" s="76"/>
      <c r="E56" s="76"/>
      <c r="F56" s="76"/>
      <c r="G56" s="76"/>
      <c r="H56" s="76"/>
      <c r="I56" s="76"/>
      <c r="J56" s="76"/>
      <c r="K56" s="76"/>
      <c r="L56" s="76"/>
      <c r="M56" s="76"/>
      <c r="N56" s="13"/>
      <c r="O56" s="13"/>
    </row>
    <row r="57" spans="1:15" x14ac:dyDescent="0.25">
      <c r="A57" s="106"/>
      <c r="B57" s="106" t="s">
        <v>262</v>
      </c>
      <c r="C57" s="179">
        <v>0</v>
      </c>
      <c r="D57" s="179">
        <f t="shared" ref="D57:J57" si="11">C57+1</f>
        <v>1</v>
      </c>
      <c r="E57" s="179">
        <f t="shared" si="11"/>
        <v>2</v>
      </c>
      <c r="F57" s="179">
        <f t="shared" si="11"/>
        <v>3</v>
      </c>
      <c r="G57" s="179">
        <f t="shared" si="11"/>
        <v>4</v>
      </c>
      <c r="H57" s="179">
        <f t="shared" si="11"/>
        <v>5</v>
      </c>
      <c r="I57" s="179">
        <f t="shared" si="11"/>
        <v>6</v>
      </c>
      <c r="J57" s="179">
        <f t="shared" si="11"/>
        <v>7</v>
      </c>
      <c r="K57" s="229"/>
      <c r="L57" s="229"/>
      <c r="M57" s="229"/>
      <c r="N57" s="229"/>
      <c r="O57" s="13"/>
    </row>
    <row r="58" spans="1:15" x14ac:dyDescent="0.25">
      <c r="A58" s="301" t="s">
        <v>263</v>
      </c>
      <c r="B58" s="177" t="s">
        <v>220</v>
      </c>
      <c r="C58" s="180">
        <f>C52*(0.5)</f>
        <v>-1000000</v>
      </c>
      <c r="D58" s="180">
        <f>(C52*0.5)+(D52*0.5)</f>
        <v>-1500000</v>
      </c>
      <c r="E58" s="180">
        <f>(D52*0.5)+(E52*0.5)</f>
        <v>-500000</v>
      </c>
      <c r="F58" s="180"/>
      <c r="G58" s="180"/>
      <c r="H58" s="180"/>
      <c r="I58" s="180"/>
      <c r="J58" s="180"/>
      <c r="K58" s="76"/>
      <c r="L58" s="76"/>
      <c r="M58" s="76"/>
      <c r="N58" s="76"/>
      <c r="O58" s="13"/>
    </row>
    <row r="59" spans="1:15" x14ac:dyDescent="0.25">
      <c r="A59" s="301"/>
      <c r="B59" s="176" t="s">
        <v>301</v>
      </c>
      <c r="C59" s="180"/>
      <c r="D59" s="180"/>
      <c r="E59" s="180">
        <f>(D53*0.5)+(E53*0.5)</f>
        <v>-125000</v>
      </c>
      <c r="F59" s="180">
        <f>(E53*0.5)+(F53*0.5)</f>
        <v>-250000</v>
      </c>
      <c r="G59" s="180">
        <f t="shared" ref="G59:J59" si="12">(F53*0.5)+(G53*0.5)</f>
        <v>-250000</v>
      </c>
      <c r="H59" s="180">
        <f t="shared" si="12"/>
        <v>-250000</v>
      </c>
      <c r="I59" s="180">
        <f t="shared" si="12"/>
        <v>-250000</v>
      </c>
      <c r="J59" s="180">
        <f t="shared" si="12"/>
        <v>-125000</v>
      </c>
      <c r="K59" s="76"/>
      <c r="L59" s="76"/>
      <c r="M59" s="76"/>
      <c r="N59" s="76"/>
      <c r="O59" s="13"/>
    </row>
    <row r="60" spans="1:15" x14ac:dyDescent="0.25">
      <c r="A60" s="186" t="s">
        <v>264</v>
      </c>
      <c r="B60" s="175" t="s">
        <v>261</v>
      </c>
      <c r="C60" s="184"/>
      <c r="D60" s="180"/>
      <c r="E60" s="180">
        <f>(D54*0.5)+(E54*0.5)</f>
        <v>600000</v>
      </c>
      <c r="F60" s="180">
        <f t="shared" ref="F60:I60" si="13">(E54*0.5)+(F54*0.5)</f>
        <v>1200000</v>
      </c>
      <c r="G60" s="180">
        <f t="shared" si="13"/>
        <v>1200000</v>
      </c>
      <c r="H60" s="180">
        <f t="shared" si="13"/>
        <v>1200000</v>
      </c>
      <c r="I60" s="180">
        <f t="shared" si="13"/>
        <v>1200000</v>
      </c>
      <c r="J60" s="180">
        <f>(I54*0.5)+(J54*0.5)</f>
        <v>600000</v>
      </c>
      <c r="K60" s="76"/>
      <c r="L60" s="76"/>
      <c r="M60" s="76"/>
      <c r="N60" s="76"/>
      <c r="O60" s="13"/>
    </row>
    <row r="61" spans="1:15" x14ac:dyDescent="0.25">
      <c r="B61" s="183" t="s">
        <v>226</v>
      </c>
      <c r="C61" s="180">
        <f>SUM(C58:C60)</f>
        <v>-1000000</v>
      </c>
      <c r="D61" s="180">
        <f t="shared" ref="D61:J61" si="14">SUM(D58:D60)</f>
        <v>-1500000</v>
      </c>
      <c r="E61" s="180">
        <f t="shared" si="14"/>
        <v>-25000</v>
      </c>
      <c r="F61" s="180">
        <f t="shared" si="14"/>
        <v>950000</v>
      </c>
      <c r="G61" s="180">
        <f t="shared" si="14"/>
        <v>950000</v>
      </c>
      <c r="H61" s="180">
        <f t="shared" si="14"/>
        <v>950000</v>
      </c>
      <c r="I61" s="180">
        <f t="shared" si="14"/>
        <v>950000</v>
      </c>
      <c r="J61" s="180">
        <f t="shared" si="14"/>
        <v>475000</v>
      </c>
      <c r="K61" s="76">
        <f>SUM(C61:J61)</f>
        <v>1750000</v>
      </c>
      <c r="L61" s="76"/>
      <c r="M61" s="76"/>
      <c r="N61" s="76"/>
      <c r="O61" s="88"/>
    </row>
    <row r="62" spans="1:15" x14ac:dyDescent="0.25">
      <c r="B62" s="88"/>
      <c r="C62" s="76"/>
      <c r="D62" s="76"/>
      <c r="E62" s="76"/>
      <c r="F62" s="76"/>
      <c r="G62" s="76"/>
      <c r="H62" s="76"/>
      <c r="I62" s="76"/>
      <c r="J62" s="76"/>
      <c r="K62" s="76"/>
      <c r="L62" s="76"/>
      <c r="M62" s="76"/>
      <c r="N62" s="76"/>
      <c r="O62" s="88"/>
    </row>
    <row r="63" spans="1:15" x14ac:dyDescent="0.25">
      <c r="B63" s="214" t="s">
        <v>302</v>
      </c>
      <c r="C63" s="206">
        <f>IRR(C61:J61)</f>
        <v>0.13811773695450413</v>
      </c>
      <c r="D63" s="76"/>
      <c r="E63" s="76"/>
      <c r="F63" s="76"/>
      <c r="G63" s="76"/>
      <c r="H63" s="76"/>
      <c r="I63" s="76"/>
      <c r="J63" s="76"/>
      <c r="K63" s="76"/>
      <c r="L63" s="76"/>
      <c r="M63" s="76"/>
      <c r="N63" s="76"/>
      <c r="O63" s="88"/>
    </row>
    <row r="65" spans="1:10" x14ac:dyDescent="0.25">
      <c r="B65" s="180" t="s">
        <v>280</v>
      </c>
      <c r="C65" s="184">
        <v>0.127</v>
      </c>
      <c r="D65" s="180" t="s">
        <v>282</v>
      </c>
      <c r="E65" s="184">
        <v>0.13</v>
      </c>
      <c r="F65" s="230" t="s">
        <v>303</v>
      </c>
      <c r="G65" s="231">
        <v>0.14000000000000001</v>
      </c>
    </row>
    <row r="67" spans="1:10" x14ac:dyDescent="0.25">
      <c r="B67" s="214" t="s">
        <v>57</v>
      </c>
      <c r="C67" s="242">
        <f>NPV(G65,D61:J61)+C61</f>
        <v>-15291.778359015356</v>
      </c>
      <c r="E67" s="344" t="s">
        <v>305</v>
      </c>
      <c r="F67" s="344"/>
      <c r="G67" s="344"/>
    </row>
    <row r="68" spans="1:10" x14ac:dyDescent="0.25">
      <c r="B68" s="344" t="s">
        <v>61</v>
      </c>
      <c r="C68" s="344"/>
      <c r="E68" s="345" t="s">
        <v>309</v>
      </c>
      <c r="F68" s="345"/>
      <c r="G68" s="345"/>
    </row>
    <row r="69" spans="1:10" x14ac:dyDescent="0.25">
      <c r="B69" s="344" t="s">
        <v>304</v>
      </c>
      <c r="C69" s="344"/>
      <c r="E69" s="345"/>
      <c r="F69" s="345"/>
      <c r="G69" s="345"/>
    </row>
    <row r="71" spans="1:10" x14ac:dyDescent="0.25">
      <c r="A71" s="106"/>
      <c r="B71" s="106" t="s">
        <v>313</v>
      </c>
      <c r="C71" s="235">
        <v>0</v>
      </c>
      <c r="D71" s="235">
        <f t="shared" ref="D71" si="15">C71+1</f>
        <v>1</v>
      </c>
      <c r="E71" s="235">
        <f t="shared" ref="E71" si="16">D71+1</f>
        <v>2</v>
      </c>
      <c r="F71" s="235">
        <f t="shared" ref="F71" si="17">E71+1</f>
        <v>3</v>
      </c>
      <c r="G71" s="235">
        <f t="shared" ref="G71" si="18">F71+1</f>
        <v>4</v>
      </c>
      <c r="H71" s="235">
        <f t="shared" ref="H71" si="19">G71+1</f>
        <v>5</v>
      </c>
      <c r="I71" s="235">
        <f t="shared" ref="I71" si="20">H71+1</f>
        <v>6</v>
      </c>
      <c r="J71" s="235">
        <f t="shared" ref="J71" si="21">I71+1</f>
        <v>7</v>
      </c>
    </row>
    <row r="72" spans="1:10" x14ac:dyDescent="0.25">
      <c r="A72" s="301" t="s">
        <v>59</v>
      </c>
      <c r="B72" s="234" t="s">
        <v>220</v>
      </c>
      <c r="C72" s="236">
        <f>C58/(1+$G$65)^C71</f>
        <v>-1000000</v>
      </c>
      <c r="D72" s="236">
        <f>D58/(1+$G$65)^D71</f>
        <v>-1315789.4736842103</v>
      </c>
      <c r="E72" s="236">
        <f>E58/(1+$G$65)^E71</f>
        <v>-384733.7642351492</v>
      </c>
      <c r="F72" s="236"/>
      <c r="G72" s="236"/>
      <c r="H72" s="236"/>
      <c r="I72" s="236"/>
      <c r="J72" s="236"/>
    </row>
    <row r="73" spans="1:10" x14ac:dyDescent="0.25">
      <c r="A73" s="301"/>
      <c r="B73" s="233" t="s">
        <v>301</v>
      </c>
      <c r="C73" s="236"/>
      <c r="D73" s="236"/>
      <c r="E73" s="236">
        <f>E59/(1+$G$65)^E71</f>
        <v>-96183.441058787299</v>
      </c>
      <c r="F73" s="236">
        <f>F59/(1+$G$65)^F71</f>
        <v>-168742.87905050401</v>
      </c>
      <c r="G73" s="236">
        <f t="shared" ref="F73:J73" si="22">G59/(1+$G$65)^G71</f>
        <v>-148020.06934254736</v>
      </c>
      <c r="H73" s="236">
        <f t="shared" si="22"/>
        <v>-129842.16608995381</v>
      </c>
      <c r="I73" s="236">
        <f>I59/(1+$G$65)^I71</f>
        <v>-113896.6369210121</v>
      </c>
      <c r="J73" s="236">
        <f t="shared" si="22"/>
        <v>-49954.665316233368</v>
      </c>
    </row>
    <row r="74" spans="1:10" x14ac:dyDescent="0.25">
      <c r="A74" s="239" t="s">
        <v>314</v>
      </c>
      <c r="B74" s="232" t="s">
        <v>261</v>
      </c>
      <c r="C74" s="184"/>
      <c r="D74" s="236"/>
      <c r="E74" s="236">
        <f>E60/(1+$G$65)^E71</f>
        <v>461680.51708217902</v>
      </c>
      <c r="F74" s="236">
        <f t="shared" ref="F74:J74" si="23">F60/(1+$G$65)^F71</f>
        <v>809965.81944241934</v>
      </c>
      <c r="G74" s="236">
        <f t="shared" si="23"/>
        <v>710496.33284422732</v>
      </c>
      <c r="H74" s="236">
        <f>H60/(1+$G$65)^H71</f>
        <v>623242.39723177825</v>
      </c>
      <c r="I74" s="236">
        <f t="shared" si="23"/>
        <v>546703.8572208581</v>
      </c>
      <c r="J74" s="236">
        <f>J60/(1+$G$65)^J71</f>
        <v>239782.39351792019</v>
      </c>
    </row>
    <row r="75" spans="1:10" x14ac:dyDescent="0.25">
      <c r="B75" s="237" t="s">
        <v>56</v>
      </c>
      <c r="C75" s="236">
        <f>SUM(C72:C74)</f>
        <v>-1000000</v>
      </c>
      <c r="D75" s="236">
        <f t="shared" ref="D75:J75" si="24">SUM(D72:D74)</f>
        <v>-1315789.4736842103</v>
      </c>
      <c r="E75" s="236">
        <f t="shared" si="24"/>
        <v>-19236.688211757457</v>
      </c>
      <c r="F75" s="236">
        <f t="shared" si="24"/>
        <v>641222.94039191538</v>
      </c>
      <c r="G75" s="236">
        <f t="shared" si="24"/>
        <v>562476.26350167999</v>
      </c>
      <c r="H75" s="236">
        <f t="shared" si="24"/>
        <v>493400.23114182445</v>
      </c>
      <c r="I75" s="236">
        <f t="shared" si="24"/>
        <v>432807.22029984603</v>
      </c>
      <c r="J75" s="236">
        <f>SUM(J72:J74)</f>
        <v>189827.72820168681</v>
      </c>
    </row>
    <row r="77" spans="1:10" x14ac:dyDescent="0.25">
      <c r="B77" s="238" t="s">
        <v>57</v>
      </c>
      <c r="C77" s="242">
        <f>SUM(C75:J75)</f>
        <v>-15291.778359015298</v>
      </c>
      <c r="G77" s="264" t="s">
        <v>80</v>
      </c>
      <c r="H77" s="94">
        <f>SUM(C72:J73)</f>
        <v>-3407163.0956983981</v>
      </c>
    </row>
    <row r="78" spans="1:10" x14ac:dyDescent="0.25">
      <c r="C78" t="s">
        <v>315</v>
      </c>
      <c r="G78" s="264" t="s">
        <v>81</v>
      </c>
      <c r="H78" s="94">
        <f>SUM(C74:J74)</f>
        <v>3391871.3173393826</v>
      </c>
    </row>
    <row r="80" spans="1:10" x14ac:dyDescent="0.25">
      <c r="B80" s="264" t="s">
        <v>79</v>
      </c>
      <c r="C80" s="264">
        <f>ABS(H78)/ABS(H77)</f>
        <v>0.99551187368214877</v>
      </c>
    </row>
  </sheetData>
  <mergeCells count="42">
    <mergeCell ref="A72:A73"/>
    <mergeCell ref="E32:F32"/>
    <mergeCell ref="K29:L29"/>
    <mergeCell ref="M29:N29"/>
    <mergeCell ref="K30:L30"/>
    <mergeCell ref="M30:N30"/>
    <mergeCell ref="K31:L31"/>
    <mergeCell ref="K32:L32"/>
    <mergeCell ref="M31:N31"/>
    <mergeCell ref="M32:N32"/>
    <mergeCell ref="A52:A53"/>
    <mergeCell ref="A58:A59"/>
    <mergeCell ref="G49:I49"/>
    <mergeCell ref="B45:C45"/>
    <mergeCell ref="B46:C46"/>
    <mergeCell ref="B48:C48"/>
    <mergeCell ref="B49:C49"/>
    <mergeCell ref="K18:L18"/>
    <mergeCell ref="K19:L19"/>
    <mergeCell ref="B34:I34"/>
    <mergeCell ref="G48:I48"/>
    <mergeCell ref="B2:N4"/>
    <mergeCell ref="B6:N9"/>
    <mergeCell ref="B19:C19"/>
    <mergeCell ref="I18:J18"/>
    <mergeCell ref="I19:J19"/>
    <mergeCell ref="B68:C68"/>
    <mergeCell ref="B69:C69"/>
    <mergeCell ref="E67:G67"/>
    <mergeCell ref="E68:G69"/>
    <mergeCell ref="B11:N12"/>
    <mergeCell ref="B14:N15"/>
    <mergeCell ref="B39:N42"/>
    <mergeCell ref="E26:F26"/>
    <mergeCell ref="E27:F27"/>
    <mergeCell ref="E28:F28"/>
    <mergeCell ref="I26:J26"/>
    <mergeCell ref="I27:J27"/>
    <mergeCell ref="E30:F30"/>
    <mergeCell ref="E31:F31"/>
    <mergeCell ref="B20:C20"/>
    <mergeCell ref="B44:C44"/>
  </mergeCells>
  <phoneticPr fontId="5" type="noConversion"/>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Amortizacion de creditos</vt:lpstr>
      <vt:lpstr>VAN y TIR</vt:lpstr>
      <vt:lpstr>ejercitacion integradora</vt:lpstr>
      <vt:lpstr>Actividades adicionales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Bargas</dc:creator>
  <cp:lastModifiedBy>Santiago Bargas</cp:lastModifiedBy>
  <cp:lastPrinted>2021-06-08T17:41:42Z</cp:lastPrinted>
  <dcterms:created xsi:type="dcterms:W3CDTF">2021-05-20T20:16:30Z</dcterms:created>
  <dcterms:modified xsi:type="dcterms:W3CDTF">2021-06-08T20:13:41Z</dcterms:modified>
</cp:coreProperties>
</file>