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nti\Desktop\4 AÑO IARA\Economia y costos\"/>
    </mc:Choice>
  </mc:AlternateContent>
  <xr:revisionPtr revIDLastSave="0" documentId="13_ncr:1_{1C4BDBA5-D166-4923-9A80-E1D997240A8B}" xr6:coauthVersionLast="45" xr6:coauthVersionMax="45" xr10:uidLastSave="{00000000-0000-0000-0000-000000000000}"/>
  <bookViews>
    <workbookView xWindow="-4530" yWindow="3525" windowWidth="10065" windowHeight="10605" firstSheet="2" activeTab="6" xr2:uid="{E34D22D4-C247-4D71-BB87-0F67B2D559DA}"/>
  </bookViews>
  <sheets>
    <sheet name="21" sheetId="2" r:id="rId1"/>
    <sheet name="22" sheetId="3" r:id="rId2"/>
    <sheet name="23" sheetId="4" r:id="rId3"/>
    <sheet name="23 bis" sheetId="5" r:id="rId4"/>
    <sheet name="PRC" sheetId="6" r:id="rId5"/>
    <sheet name="24 25" sheetId="7" r:id="rId6"/>
    <sheet name="26"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44" i="8" l="1"/>
  <c r="D45" i="8"/>
  <c r="D46" i="8"/>
  <c r="D43" i="8"/>
  <c r="D9" i="8"/>
  <c r="D15" i="8" s="1"/>
  <c r="C17" i="4"/>
  <c r="C55" i="8"/>
  <c r="C56" i="8" s="1"/>
  <c r="K43" i="8"/>
  <c r="J43" i="8"/>
  <c r="J48" i="8" s="1"/>
  <c r="D17" i="8" l="1"/>
  <c r="D16" i="8"/>
  <c r="D14" i="8"/>
  <c r="E43" i="8"/>
  <c r="I43" i="8" s="1"/>
  <c r="G20" i="4"/>
  <c r="D24" i="8"/>
  <c r="E24" i="8"/>
  <c r="F24" i="8"/>
  <c r="G24" i="8"/>
  <c r="C24" i="8"/>
  <c r="C26" i="8" s="1"/>
  <c r="F30" i="8" s="1"/>
  <c r="E29" i="8" l="1"/>
  <c r="C30" i="8"/>
  <c r="E30" i="8"/>
  <c r="D30" i="8"/>
  <c r="C29" i="8"/>
  <c r="F29" i="8"/>
  <c r="F31" i="8" s="1"/>
  <c r="D29" i="8"/>
  <c r="D31" i="8" s="1"/>
  <c r="G30" i="8"/>
  <c r="G31" i="8" s="1"/>
  <c r="G29" i="8"/>
  <c r="E31" i="8"/>
  <c r="F43" i="8"/>
  <c r="G43" i="8" s="1"/>
  <c r="C44" i="8" s="1"/>
  <c r="L43" i="8"/>
  <c r="C31" i="8"/>
  <c r="E44" i="8" l="1"/>
  <c r="K44" i="8"/>
  <c r="D54" i="8"/>
  <c r="D19" i="8"/>
  <c r="E14" i="8"/>
  <c r="D10" i="7"/>
  <c r="D40" i="7"/>
  <c r="D41" i="7"/>
  <c r="D42" i="7"/>
  <c r="D43" i="7"/>
  <c r="D39" i="7"/>
  <c r="E40" i="7"/>
  <c r="E41" i="7"/>
  <c r="E42" i="7"/>
  <c r="E43" i="7"/>
  <c r="E39" i="7"/>
  <c r="F40" i="7"/>
  <c r="F41" i="7"/>
  <c r="F42" i="7"/>
  <c r="F43" i="7"/>
  <c r="F39" i="7"/>
  <c r="C35" i="7"/>
  <c r="E15" i="7"/>
  <c r="D56" i="8" l="1"/>
  <c r="D59" i="8"/>
  <c r="D61" i="8" s="1"/>
  <c r="I44" i="8"/>
  <c r="F44" i="8"/>
  <c r="G44" i="8" s="1"/>
  <c r="C45" i="8" s="1"/>
  <c r="F14" i="8"/>
  <c r="G39" i="7"/>
  <c r="C40" i="7" s="1"/>
  <c r="G40" i="7" s="1"/>
  <c r="C41" i="7" s="1"/>
  <c r="G41" i="7" s="1"/>
  <c r="C42" i="7" s="1"/>
  <c r="G42" i="7" s="1"/>
  <c r="C43" i="7" s="1"/>
  <c r="G43" i="7" s="1"/>
  <c r="G14" i="8" l="1"/>
  <c r="C15" i="8" s="1"/>
  <c r="E15" i="8" s="1"/>
  <c r="E45" i="8"/>
  <c r="K45" i="8"/>
  <c r="L44" i="8"/>
  <c r="E54" i="8" l="1"/>
  <c r="E59" i="8" s="1"/>
  <c r="E61" i="8" s="1"/>
  <c r="F15" i="8"/>
  <c r="F45" i="8"/>
  <c r="G45" i="8" s="1"/>
  <c r="C46" i="8" s="1"/>
  <c r="I45" i="8"/>
  <c r="N6" i="6"/>
  <c r="L45" i="8" l="1"/>
  <c r="E56" i="8"/>
  <c r="G15" i="8"/>
  <c r="C16" i="8" s="1"/>
  <c r="E16" i="8" s="1"/>
  <c r="E46" i="8"/>
  <c r="K46" i="8"/>
  <c r="K48" i="8" s="1"/>
  <c r="N8" i="6"/>
  <c r="N9" i="6"/>
  <c r="N10" i="6" s="1"/>
  <c r="N11" i="6" s="1"/>
  <c r="N7" i="6"/>
  <c r="R7" i="6"/>
  <c r="R8" i="6"/>
  <c r="S8" i="6" s="1"/>
  <c r="R9" i="6"/>
  <c r="R10" i="6"/>
  <c r="R11" i="6"/>
  <c r="R6" i="6"/>
  <c r="S6" i="6" s="1"/>
  <c r="Q7" i="6"/>
  <c r="Q8" i="6"/>
  <c r="Q9" i="6"/>
  <c r="Q10" i="6"/>
  <c r="Q11" i="6"/>
  <c r="S11" i="6" s="1"/>
  <c r="Q6" i="6"/>
  <c r="T6" i="6" s="1"/>
  <c r="T7" i="6" s="1"/>
  <c r="S7" i="6"/>
  <c r="S9" i="6"/>
  <c r="S10" i="6"/>
  <c r="M6" i="6"/>
  <c r="L11" i="6"/>
  <c r="L7" i="6"/>
  <c r="M7" i="6" s="1"/>
  <c r="L8" i="6"/>
  <c r="L9" i="6"/>
  <c r="L10" i="6"/>
  <c r="L6" i="6"/>
  <c r="K7" i="6"/>
  <c r="K8" i="6"/>
  <c r="M8" i="6" s="1"/>
  <c r="K9" i="6"/>
  <c r="M9" i="6" s="1"/>
  <c r="K10" i="6"/>
  <c r="K11" i="6"/>
  <c r="M11" i="6" s="1"/>
  <c r="K6" i="6"/>
  <c r="H11" i="6"/>
  <c r="E11" i="6"/>
  <c r="H10" i="6"/>
  <c r="E10" i="6"/>
  <c r="H9" i="6"/>
  <c r="E9" i="6"/>
  <c r="H8" i="6"/>
  <c r="E8" i="6"/>
  <c r="H7" i="6"/>
  <c r="E7" i="6"/>
  <c r="H6" i="6"/>
  <c r="E6" i="6"/>
  <c r="O21" i="5"/>
  <c r="L21" i="5"/>
  <c r="G21" i="4"/>
  <c r="O20" i="5"/>
  <c r="L20" i="5"/>
  <c r="P11" i="5"/>
  <c r="P12" i="5"/>
  <c r="P13" i="5"/>
  <c r="P14" i="5"/>
  <c r="P15" i="5"/>
  <c r="P10" i="5"/>
  <c r="M11" i="5"/>
  <c r="M12" i="5"/>
  <c r="M13" i="5"/>
  <c r="M14" i="5"/>
  <c r="M15" i="5"/>
  <c r="M10" i="5"/>
  <c r="H11" i="5"/>
  <c r="H12" i="5"/>
  <c r="H13" i="5"/>
  <c r="H14" i="5"/>
  <c r="H15" i="5"/>
  <c r="H10" i="5"/>
  <c r="E11" i="5"/>
  <c r="E12" i="5"/>
  <c r="E13" i="5"/>
  <c r="E14" i="5"/>
  <c r="E15" i="5"/>
  <c r="E10" i="5"/>
  <c r="O11" i="5"/>
  <c r="O12" i="5"/>
  <c r="O13" i="5"/>
  <c r="O14" i="5"/>
  <c r="O15" i="5"/>
  <c r="O10" i="5"/>
  <c r="O17" i="5" s="1"/>
  <c r="N11" i="5"/>
  <c r="N17" i="5" s="1"/>
  <c r="N12" i="5"/>
  <c r="N13" i="5"/>
  <c r="N14" i="5"/>
  <c r="N15" i="5"/>
  <c r="N10" i="5"/>
  <c r="L11" i="5"/>
  <c r="L12" i="5"/>
  <c r="L13" i="5"/>
  <c r="L14" i="5"/>
  <c r="L15" i="5"/>
  <c r="L10" i="5"/>
  <c r="K11" i="5"/>
  <c r="K12" i="5"/>
  <c r="K13" i="5"/>
  <c r="K14" i="5"/>
  <c r="K15" i="5"/>
  <c r="K10" i="5"/>
  <c r="K17" i="5" s="1"/>
  <c r="D17" i="4"/>
  <c r="E17" i="4"/>
  <c r="F17" i="4"/>
  <c r="G17" i="4"/>
  <c r="D16" i="4"/>
  <c r="E16" i="4"/>
  <c r="F16" i="4"/>
  <c r="G16" i="4"/>
  <c r="C16" i="4"/>
  <c r="G18" i="4"/>
  <c r="F18" i="4"/>
  <c r="D18" i="4"/>
  <c r="C13" i="4"/>
  <c r="D13" i="4"/>
  <c r="E13" i="4"/>
  <c r="F13" i="4"/>
  <c r="G13" i="4"/>
  <c r="D16" i="3"/>
  <c r="E16" i="3"/>
  <c r="F16" i="3"/>
  <c r="G16" i="3"/>
  <c r="C16" i="3"/>
  <c r="D15" i="3"/>
  <c r="E15" i="3"/>
  <c r="F15" i="3"/>
  <c r="F17" i="3" s="1"/>
  <c r="G15" i="3"/>
  <c r="C15" i="3"/>
  <c r="G17" i="3"/>
  <c r="H9" i="3"/>
  <c r="G7" i="3"/>
  <c r="F7" i="3"/>
  <c r="E7" i="3"/>
  <c r="D7" i="3"/>
  <c r="C7" i="3"/>
  <c r="D70" i="2"/>
  <c r="E70" i="2"/>
  <c r="F70" i="2"/>
  <c r="G70" i="2"/>
  <c r="C70" i="2"/>
  <c r="D69" i="2"/>
  <c r="E69" i="2"/>
  <c r="F69" i="2"/>
  <c r="F71" i="2" s="1"/>
  <c r="G69" i="2"/>
  <c r="C69" i="2"/>
  <c r="D61" i="2"/>
  <c r="E61" i="2"/>
  <c r="F61" i="2"/>
  <c r="F62" i="2" s="1"/>
  <c r="G61" i="2"/>
  <c r="C61" i="2"/>
  <c r="D60" i="2"/>
  <c r="E60" i="2"/>
  <c r="F60" i="2"/>
  <c r="G60" i="2"/>
  <c r="C60" i="2"/>
  <c r="D62" i="2"/>
  <c r="D52" i="2"/>
  <c r="E52" i="2"/>
  <c r="F52" i="2"/>
  <c r="G52" i="2"/>
  <c r="C52" i="2"/>
  <c r="D51" i="2"/>
  <c r="D53" i="2" s="1"/>
  <c r="E51" i="2"/>
  <c r="F51" i="2"/>
  <c r="F53" i="2" s="1"/>
  <c r="G51" i="2"/>
  <c r="G53" i="2" s="1"/>
  <c r="C51" i="2"/>
  <c r="D43" i="2"/>
  <c r="E43" i="2"/>
  <c r="F43" i="2"/>
  <c r="G43" i="2"/>
  <c r="G44" i="2" s="1"/>
  <c r="C43" i="2"/>
  <c r="D42" i="2"/>
  <c r="E42" i="2"/>
  <c r="F42" i="2"/>
  <c r="G42" i="2"/>
  <c r="C42" i="2"/>
  <c r="F44" i="2"/>
  <c r="D34" i="2"/>
  <c r="E34" i="2"/>
  <c r="F34" i="2"/>
  <c r="G34" i="2"/>
  <c r="C34" i="2"/>
  <c r="D33" i="2"/>
  <c r="E33" i="2"/>
  <c r="F33" i="2"/>
  <c r="F35" i="2" s="1"/>
  <c r="G33" i="2"/>
  <c r="G35" i="2" s="1"/>
  <c r="C33" i="2"/>
  <c r="D25" i="2"/>
  <c r="E25" i="2"/>
  <c r="F25" i="2"/>
  <c r="F26" i="2" s="1"/>
  <c r="G25" i="2"/>
  <c r="C25" i="2"/>
  <c r="D24" i="2"/>
  <c r="E24" i="2"/>
  <c r="F24" i="2"/>
  <c r="G24" i="2"/>
  <c r="G26" i="2" s="1"/>
  <c r="C24" i="2"/>
  <c r="D16" i="2"/>
  <c r="E16" i="2"/>
  <c r="F16" i="2"/>
  <c r="G16" i="2"/>
  <c r="C16" i="2"/>
  <c r="D15" i="2"/>
  <c r="D17" i="2" s="1"/>
  <c r="E15" i="2"/>
  <c r="E17" i="2" s="1"/>
  <c r="F15" i="2"/>
  <c r="G15" i="2"/>
  <c r="C15" i="2"/>
  <c r="D9" i="2"/>
  <c r="E9" i="2"/>
  <c r="F9" i="2"/>
  <c r="G9" i="2"/>
  <c r="C9" i="2"/>
  <c r="F54" i="8" l="1"/>
  <c r="F56" i="8" s="1"/>
  <c r="F16" i="8"/>
  <c r="F46" i="8"/>
  <c r="G46" i="8" s="1"/>
  <c r="I46" i="8"/>
  <c r="T8" i="6"/>
  <c r="T9" i="6" s="1"/>
  <c r="T10" i="6" s="1"/>
  <c r="T11" i="6" s="1"/>
  <c r="M10" i="6"/>
  <c r="L17" i="5"/>
  <c r="L19" i="5" s="1"/>
  <c r="O19" i="5"/>
  <c r="E18" i="4"/>
  <c r="C18" i="4"/>
  <c r="D17" i="3"/>
  <c r="C17" i="2"/>
  <c r="G17" i="2"/>
  <c r="D35" i="2"/>
  <c r="F17" i="2"/>
  <c r="E26" i="2"/>
  <c r="D44" i="2"/>
  <c r="G71" i="2"/>
  <c r="D71" i="2"/>
  <c r="D26" i="2"/>
  <c r="G62" i="2"/>
  <c r="E17" i="3"/>
  <c r="C17" i="3"/>
  <c r="E71" i="2"/>
  <c r="C71" i="2"/>
  <c r="G73" i="2" s="1"/>
  <c r="J15" i="2" s="1"/>
  <c r="E62" i="2"/>
  <c r="C62" i="2"/>
  <c r="G64" i="2" s="1"/>
  <c r="J14" i="2" s="1"/>
  <c r="E53" i="2"/>
  <c r="C53" i="2"/>
  <c r="E44" i="2"/>
  <c r="C44" i="2"/>
  <c r="E35" i="2"/>
  <c r="C35" i="2"/>
  <c r="G37" i="2" s="1"/>
  <c r="J11" i="2" s="1"/>
  <c r="C26" i="2"/>
  <c r="G28" i="2" s="1"/>
  <c r="J10" i="2" s="1"/>
  <c r="F59" i="8" l="1"/>
  <c r="F61" i="8" s="1"/>
  <c r="L46" i="8"/>
  <c r="I48" i="8"/>
  <c r="G16" i="8"/>
  <c r="C17" i="8" s="1"/>
  <c r="E17" i="8" s="1"/>
  <c r="G19" i="3"/>
  <c r="G19" i="2"/>
  <c r="J9" i="2" s="1"/>
  <c r="G46" i="2"/>
  <c r="J12" i="2" s="1"/>
  <c r="G55" i="2"/>
  <c r="J13" i="2" s="1"/>
  <c r="D19" i="7"/>
  <c r="D18" i="7"/>
  <c r="D17" i="7"/>
  <c r="D16" i="7"/>
  <c r="F16" i="7" s="1"/>
  <c r="G16" i="7" s="1"/>
  <c r="C17" i="7" s="1"/>
  <c r="E17" i="7" s="1"/>
  <c r="F17" i="7" s="1"/>
  <c r="G17" i="7" s="1"/>
  <c r="C18" i="7" s="1"/>
  <c r="E18" i="7" s="1"/>
  <c r="F18" i="7" s="1"/>
  <c r="G18" i="7" s="1"/>
  <c r="C19" i="7" s="1"/>
  <c r="E19" i="7" s="1"/>
  <c r="F19" i="7" s="1"/>
  <c r="G19" i="7" s="1"/>
  <c r="D15" i="7"/>
  <c r="F15" i="7"/>
  <c r="G15" i="7" s="1"/>
  <c r="C16" i="7" s="1"/>
  <c r="E16" i="7" s="1"/>
  <c r="G54" i="8" l="1"/>
  <c r="L48" i="8"/>
  <c r="F17" i="8"/>
  <c r="E19" i="8"/>
  <c r="G59" i="8" l="1"/>
  <c r="G61" i="8" s="1"/>
  <c r="G56" i="8"/>
  <c r="C63" i="8" s="1"/>
  <c r="C60" i="8" s="1"/>
  <c r="C61" i="8" s="1"/>
  <c r="G17" i="8"/>
  <c r="F19" i="8"/>
</calcChain>
</file>

<file path=xl/sharedStrings.xml><?xml version="1.0" encoding="utf-8"?>
<sst xmlns="http://schemas.openxmlformats.org/spreadsheetml/2006/main" count="273" uniqueCount="112">
  <si>
    <t>Egresos</t>
  </si>
  <si>
    <t>Ingresos</t>
  </si>
  <si>
    <t>Momento 0</t>
  </si>
  <si>
    <t>Momento 1</t>
  </si>
  <si>
    <t>Momento 2</t>
  </si>
  <si>
    <t>Momento 3</t>
  </si>
  <si>
    <t>Momento 4</t>
  </si>
  <si>
    <t>FF</t>
  </si>
  <si>
    <t>COK</t>
  </si>
  <si>
    <t>Momento</t>
  </si>
  <si>
    <t>FF actualizados</t>
  </si>
  <si>
    <t>VAN</t>
  </si>
  <si>
    <t>TIR</t>
  </si>
  <si>
    <t>Egresos actualizados</t>
  </si>
  <si>
    <t>Ingresos actualizados</t>
  </si>
  <si>
    <t>21)</t>
  </si>
  <si>
    <t>Fondo de Flujos</t>
  </si>
  <si>
    <t>VAN (10%)</t>
  </si>
  <si>
    <t>VAN (12%)</t>
  </si>
  <si>
    <t>TASA</t>
  </si>
  <si>
    <t>22)</t>
  </si>
  <si>
    <t>VAN &gt; 0</t>
  </si>
  <si>
    <t>1507 &gt; 0</t>
  </si>
  <si>
    <t>Aceptar</t>
  </si>
  <si>
    <t xml:space="preserve"> TIR &gt;  COK</t>
  </si>
  <si>
    <t>19.9742% &gt; 12%</t>
  </si>
  <si>
    <t>23)</t>
  </si>
  <si>
    <t>Determine el VAN de una inversión, cuyos datos anuales son los de la tabla, considerando distintas tasas como costo de oportunidad (distintos inversores evaluando un mismo proyecto): 10, 12, 14, 16, 18, 20, y 22% anual. Grafique VAN vs TASA. Describa y explique su comportamiento</t>
  </si>
  <si>
    <t>Al aumentar la Tasa, va disminuyendo cada uno de los términos de la sumatoria, y por ende el resultado total, va disminuyendo a medida que aumenta la tasa. Llega un punto en el cual se hace cero y si la tasa continúa en aumento el Van se hace negativo.</t>
  </si>
  <si>
    <r>
      <t xml:space="preserve">La pregunta es: ¿Cuál de todos los puntos de la línea del dibujo es el correcto?. La respuesta es simple: </t>
    </r>
    <r>
      <rPr>
        <b/>
        <sz val="11"/>
        <color theme="1"/>
        <rFont val="Calibri"/>
        <family val="2"/>
        <scheme val="minor"/>
      </rPr>
      <t>uno y solo uno</t>
    </r>
    <r>
      <rPr>
        <sz val="11"/>
        <color theme="1"/>
        <rFont val="Calibri"/>
        <family val="2"/>
        <scheme val="minor"/>
      </rPr>
      <t xml:space="preserve">, dependiendo de la tasa de descuento que se asuma. </t>
    </r>
    <r>
      <rPr>
        <b/>
        <sz val="11"/>
        <color theme="1"/>
        <rFont val="Calibri"/>
        <family val="2"/>
        <scheme val="minor"/>
      </rPr>
      <t>La Tasa utilizada, es particular de cada tomador de decisión</t>
    </r>
    <r>
      <rPr>
        <sz val="11"/>
        <color theme="1"/>
        <rFont val="Calibri"/>
        <family val="2"/>
        <scheme val="minor"/>
      </rPr>
      <t xml:space="preserve">, ya que representa la rentabilidad de la mejor </t>
    </r>
    <r>
      <rPr>
        <b/>
        <sz val="11"/>
        <color theme="1"/>
        <rFont val="Calibri"/>
        <family val="2"/>
        <scheme val="minor"/>
      </rPr>
      <t>opción alternativa</t>
    </r>
    <r>
      <rPr>
        <sz val="11"/>
        <color theme="1"/>
        <rFont val="Calibri"/>
        <family val="2"/>
        <scheme val="minor"/>
      </rPr>
      <t xml:space="preserve"> que dejaría de obtener por invertir en el proyecto.</t>
    </r>
  </si>
  <si>
    <t>Del Problema anterior calcular la TIR e indicar el criterio de decisión si el COK del inversionista es del 12%anual.</t>
  </si>
  <si>
    <t>Es decir que, la TIR del proyecto es cercana al 20% anual y, siendo el costo de oportunidad del inversionista el 12%, el criterio de decisión en términos financieros es aceptar el proyecto (TIR&gt;COK). Por otro lado, también sabemos que el VAN resultante asciende a aprox. $1.500.</t>
  </si>
  <si>
    <t>La aceptación o rechazo por el solo conocimiento de la TIR, sabiendo que existen otros indicadores, es sumamente escaso.</t>
  </si>
  <si>
    <r>
      <t xml:space="preserve">La </t>
    </r>
    <r>
      <rPr>
        <b/>
        <sz val="11"/>
        <color theme="1"/>
        <rFont val="Calibri"/>
        <family val="2"/>
        <scheme val="minor"/>
      </rPr>
      <t>TIR tiene un inconveniente importante para su aplicación</t>
    </r>
    <r>
      <rPr>
        <sz val="11"/>
        <color theme="1"/>
        <rFont val="Calibri"/>
        <family val="2"/>
        <scheme val="minor"/>
      </rPr>
      <t xml:space="preserve"> y este radica en la forma que posea el Flujo de fondos. Cuando existe </t>
    </r>
    <r>
      <rPr>
        <b/>
        <sz val="11"/>
        <color theme="1"/>
        <rFont val="Calibri"/>
        <family val="2"/>
        <scheme val="minor"/>
      </rPr>
      <t xml:space="preserve">más de un cambio de signo en el flujo de fondos </t>
    </r>
    <r>
      <rPr>
        <sz val="11"/>
        <color theme="1"/>
        <rFont val="Calibri"/>
        <family val="2"/>
        <scheme val="minor"/>
      </rPr>
      <t>(matemáticamente: más de una raíz, gráficamente: más de un corte sobre el eje de las abscisas), esto implicaría que se tendrían tantas TIR, como cambios de signo haya, lo cual no tiene significado económico. Este es el caso de importantes reinversiones a lo largo de la vida del proyecto.</t>
    </r>
  </si>
  <si>
    <t>Una empresa tiene una propuesta de inversión de $ 900.000 hoy. Esta iniciativa tendría los ingresos y egresos siguientes:</t>
  </si>
  <si>
    <t>VAN (6.25%)</t>
  </si>
  <si>
    <t>199550 &gt; 0</t>
  </si>
  <si>
    <t>TIR &gt; COK</t>
  </si>
  <si>
    <t>14.0965% &gt; 6.25%</t>
  </si>
  <si>
    <t>Proyecto A</t>
  </si>
  <si>
    <t>Proyecto B</t>
  </si>
  <si>
    <t xml:space="preserve">Egresos </t>
  </si>
  <si>
    <t>23 bis)</t>
  </si>
  <si>
    <t>Para realizar el cálculo de la RBC, es necesario contar con el flujo de caja discriminado en Ingresos y Egresos y se procede a calcular el Valor Actual de ambos por separado considerando la misma tasa de descuento. A continuación un ejemplo de su estimación, para una tasa de descuento del 10%:</t>
  </si>
  <si>
    <t>VAE</t>
  </si>
  <si>
    <t>VAI</t>
  </si>
  <si>
    <t>VAE=Valor Actual Egresos</t>
  </si>
  <si>
    <t>VAI=Valor Actual Ingresos</t>
  </si>
  <si>
    <t>RBC (10%)</t>
  </si>
  <si>
    <t>RBC &lt; 1</t>
  </si>
  <si>
    <t>Rechazar</t>
  </si>
  <si>
    <t>RBC &gt; 1</t>
  </si>
  <si>
    <t xml:space="preserve">TIR </t>
  </si>
  <si>
    <t>VAN &lt; 0</t>
  </si>
  <si>
    <t>TIR &lt; COK</t>
  </si>
  <si>
    <t>Según los criterios mencionados, este indicador reflejaría para el Proyecto A quebranto o inexistencia de rentabilidad (no conveniencia) mientras que para el Proyecto B sí estaría indicando que el mismo es rentable.</t>
  </si>
  <si>
    <t xml:space="preserve">   &lt;-----</t>
  </si>
  <si>
    <t>Si se tuviese que para los Proy. AA, BB y CC las RBC obtenidas fueran de: 1.2, 1.5 y 1.8, sería la mejor aquella que alcanzara mayor RBC. En este caso, el ranking de las respuestas (de mejor a peor) sería: CC, BB y CC, siendo en todos los casos rentabilidades positivas.</t>
  </si>
  <si>
    <t>Una vez calculado el Flujo Neto Actualizado Acumulado, el período en el cual se considera recuperada la inversión es el período en el cual se verifica el cambio de signo de – a +.</t>
  </si>
  <si>
    <t>FF Act. Acumulado</t>
  </si>
  <si>
    <t>El capital en el proyecto A se recupera entre el momento 2 y 3</t>
  </si>
  <si>
    <t>El capital en el proyecto B se recupera entre el momento 1 y 2</t>
  </si>
  <si>
    <t>24)</t>
  </si>
  <si>
    <t>Cuál será el valor de la cuota de un préstamo de $ 10.000, si se lo solicita en 5 cuotas y la tasa de interés es del 2%. Considerar las cuotas vencidas. Se solicita también detallar la composición de cada una de las cuotas.</t>
  </si>
  <si>
    <t>V</t>
  </si>
  <si>
    <t>n</t>
  </si>
  <si>
    <t>cuotas</t>
  </si>
  <si>
    <t>i</t>
  </si>
  <si>
    <t>C</t>
  </si>
  <si>
    <t>???</t>
  </si>
  <si>
    <t>Mediante la formula</t>
  </si>
  <si>
    <t>c</t>
  </si>
  <si>
    <t>Tasa de Interés:</t>
  </si>
  <si>
    <t>Período</t>
  </si>
  <si>
    <t>Deuda al Inicio del Período (Vp)</t>
  </si>
  <si>
    <t>Valor Cuota (C)</t>
  </si>
  <si>
    <t>Interés del Período Sobre el Saldo (Ip)</t>
  </si>
  <si>
    <t>Amortización real del Período (Ap)</t>
  </si>
  <si>
    <t>Tot. Amort. hasta el Período (Ap)</t>
  </si>
  <si>
    <t xml:space="preserve">Conclusiones: </t>
  </si>
  <si>
    <t xml:space="preserve">✓ La cuota es constante por ser la particularidad del Modelo. </t>
  </si>
  <si>
    <t>✓ Cada cuota posee una parte de Amortización de deuda y otra de Interés.</t>
  </si>
  <si>
    <t xml:space="preserve"> ✓ El interés de cada período se ha calculado con la tasa (constante) sobre el saldo de deuda (decreciente). Por ello el interés también decrece </t>
  </si>
  <si>
    <t xml:space="preserve">✓ La Amortización del período se calcula restando los intereses del valor de la Cuota. </t>
  </si>
  <si>
    <t>✓ La suma de las Amortizaciones de cada período es igual a la deuda original.</t>
  </si>
  <si>
    <t>Resolver el Problema por el Sistema Alemán. Se solicita también detallar la composición de cada una de las cuotas.</t>
  </si>
  <si>
    <t>25)</t>
  </si>
  <si>
    <t>A</t>
  </si>
  <si>
    <t>✓ La Amortización es constante por ser la particularidad del Modelo.</t>
  </si>
  <si>
    <t>✓ El interés de cada período se ha calculado a tasa (constante) sobre el saldo de deuda (decreciente). El interés también decrece.</t>
  </si>
  <si>
    <t>✓ La Amortización de Capital en cada cuota es la ene-ésima parte del capital solicitado.</t>
  </si>
  <si>
    <t>✓ La deuda al inicio del cada período es la diferencia entre la deuda total y el total amortizado hasta ese momento.</t>
  </si>
  <si>
    <t>✓ La suma de las Amortizaciones de cada período es igual a la deuda original</t>
  </si>
  <si>
    <t>Conclusiones:</t>
  </si>
  <si>
    <t>26)</t>
  </si>
  <si>
    <t>Si se solicita un préstamo de $ 100.000, en 4 cuotas anuales y la tasa de interés es del 25% anual por sistema Francés (Considerar las cuotas vencidas), cuál será el valor de las cuotas y el costo financiero total a afrontar por el deudor: Luego de calcular el valor de la cuota del Sistema Francés arroja el siguiente</t>
  </si>
  <si>
    <t>Egreso</t>
  </si>
  <si>
    <t>Ingreso</t>
  </si>
  <si>
    <t>Egreso act.</t>
  </si>
  <si>
    <t>Ingreso act</t>
  </si>
  <si>
    <t>FF act</t>
  </si>
  <si>
    <t>Si realizamos el cálculo de la TIR (tasa interna de retorno), por supuesto que obtendremos que la misma coincide con el 25% que declaró el acreedor.</t>
  </si>
  <si>
    <t>Pero si hacemos el mismo análisis, pero incorporando otros conceptos de costos adicionales al interés, la incógnita es conocer como variará la tasa, ¿o cuál será el CFT?</t>
  </si>
  <si>
    <t>En el análisis se incorpora el IVA de los intereses, un 3% de gastos de otorgamiento del crédito y el Seguro de vida del 1% del saldo adeudado.</t>
  </si>
  <si>
    <t>IVA   Intereses (21%)</t>
  </si>
  <si>
    <t>Gastos Gestion Credito (3%)</t>
  </si>
  <si>
    <t>CUOTA TOTAL</t>
  </si>
  <si>
    <t>Seguro de vida S/Deudor (1%)</t>
  </si>
  <si>
    <t>Con lo cuál si realizamos nuevamente el análisis de la TIR con los nuevos valores de costos reflejados, como se ve en el cuadro siguiente, llegaremos a un CFT que asciende al 32,67% en lugar del 25% del análisis anterior en el que se contempla exclusivamente la tasa de interés.</t>
  </si>
  <si>
    <t>Egreso actualizado</t>
  </si>
  <si>
    <t>Ingreso actualizado</t>
  </si>
  <si>
    <t>FF actualizado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</si>
</sst>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74" formatCode="0.000"/>
  </numFmts>
  <fonts count="5"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i/>
      <sz val="11"/>
      <color theme="1"/>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39997558519241921"/>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103">
    <xf numFmtId="0" fontId="0" fillId="0" borderId="0" xfId="0"/>
    <xf numFmtId="0" fontId="0" fillId="0" borderId="1" xfId="0" applyBorder="1"/>
    <xf numFmtId="0" fontId="2" fillId="0" borderId="1" xfId="0" applyFont="1" applyBorder="1"/>
    <xf numFmtId="0" fontId="0" fillId="0" borderId="0" xfId="0" applyAlignment="1">
      <alignment horizontal="center"/>
    </xf>
    <xf numFmtId="0" fontId="1" fillId="0" borderId="1" xfId="0" applyFont="1" applyBorder="1" applyAlignment="1">
      <alignment horizontal="center" vertical="center"/>
    </xf>
    <xf numFmtId="0" fontId="0" fillId="3" borderId="0" xfId="0" applyFill="1" applyAlignment="1">
      <alignment horizontal="left" wrapText="1"/>
    </xf>
    <xf numFmtId="0" fontId="0" fillId="0" borderId="0" xfId="0" applyFont="1"/>
    <xf numFmtId="1" fontId="0" fillId="0" borderId="1" xfId="0" applyNumberFormat="1" applyBorder="1"/>
    <xf numFmtId="0" fontId="4" fillId="0" borderId="1" xfId="0" applyFont="1" applyBorder="1" applyAlignment="1">
      <alignment horizontal="center"/>
    </xf>
    <xf numFmtId="0" fontId="4" fillId="4" borderId="1" xfId="0" applyFont="1" applyFill="1" applyBorder="1" applyAlignment="1">
      <alignment horizontal="center"/>
    </xf>
    <xf numFmtId="0" fontId="0" fillId="0" borderId="0" xfId="0" applyBorder="1" applyAlignment="1">
      <alignment wrapText="1"/>
    </xf>
    <xf numFmtId="1" fontId="0" fillId="0" borderId="2" xfId="0" applyNumberFormat="1" applyBorder="1"/>
    <xf numFmtId="1" fontId="0" fillId="0" borderId="5" xfId="0" applyNumberFormat="1" applyBorder="1"/>
    <xf numFmtId="0" fontId="1" fillId="0" borderId="1" xfId="0" applyFont="1" applyBorder="1"/>
    <xf numFmtId="0" fontId="1" fillId="4" borderId="0" xfId="0" applyFont="1" applyFill="1" applyBorder="1" applyAlignment="1">
      <alignment horizontal="right" wrapText="1"/>
    </xf>
    <xf numFmtId="9" fontId="0" fillId="4" borderId="0" xfId="1" applyFont="1" applyFill="1"/>
    <xf numFmtId="1" fontId="0" fillId="4" borderId="0" xfId="0" applyNumberFormat="1" applyFill="1"/>
    <xf numFmtId="0" fontId="2" fillId="4" borderId="0" xfId="0" applyFont="1" applyFill="1" applyBorder="1" applyAlignment="1">
      <alignment horizontal="right"/>
    </xf>
    <xf numFmtId="2" fontId="2" fillId="0" borderId="1" xfId="0" applyNumberFormat="1" applyFont="1" applyBorder="1" applyAlignment="1">
      <alignment horizontal="center"/>
    </xf>
    <xf numFmtId="1" fontId="0" fillId="0" borderId="1" xfId="0" applyNumberFormat="1" applyBorder="1" applyAlignment="1">
      <alignment horizontal="center"/>
    </xf>
    <xf numFmtId="2" fontId="2" fillId="0" borderId="1" xfId="0" applyNumberFormat="1" applyFont="1" applyFill="1" applyBorder="1" applyAlignment="1">
      <alignment horizontal="center"/>
    </xf>
    <xf numFmtId="165" fontId="0" fillId="4" borderId="1" xfId="0" applyNumberFormat="1" applyFill="1" applyBorder="1"/>
    <xf numFmtId="0" fontId="4" fillId="4" borderId="1" xfId="0" applyFont="1" applyFill="1" applyBorder="1" applyAlignment="1">
      <alignment horizontal="right"/>
    </xf>
    <xf numFmtId="0" fontId="2" fillId="4" borderId="1" xfId="0" applyFont="1" applyFill="1" applyBorder="1" applyAlignment="1">
      <alignment horizontal="right"/>
    </xf>
    <xf numFmtId="1" fontId="0" fillId="4" borderId="1" xfId="0" applyNumberFormat="1" applyFill="1" applyBorder="1"/>
    <xf numFmtId="0" fontId="4" fillId="4" borderId="1" xfId="0" applyFont="1" applyFill="1" applyBorder="1"/>
    <xf numFmtId="0" fontId="1" fillId="4" borderId="0" xfId="0" applyFont="1" applyFill="1" applyAlignment="1">
      <alignment horizontal="right"/>
    </xf>
    <xf numFmtId="0" fontId="0" fillId="5" borderId="0" xfId="0" applyFont="1" applyFill="1" applyBorder="1" applyAlignment="1">
      <alignment horizontal="right" vertical="center"/>
    </xf>
    <xf numFmtId="0" fontId="0" fillId="0" borderId="0" xfId="0" applyAlignment="1">
      <alignment wrapText="1"/>
    </xf>
    <xf numFmtId="0" fontId="0" fillId="6" borderId="0" xfId="0" applyFill="1" applyAlignment="1">
      <alignment wrapText="1"/>
    </xf>
    <xf numFmtId="0" fontId="0" fillId="2" borderId="0" xfId="0" applyFill="1" applyAlignment="1">
      <alignment wrapText="1"/>
    </xf>
    <xf numFmtId="0" fontId="0" fillId="2" borderId="0" xfId="0" applyFill="1"/>
    <xf numFmtId="10" fontId="4" fillId="4" borderId="1" xfId="1" applyNumberFormat="1" applyFont="1" applyFill="1" applyBorder="1"/>
    <xf numFmtId="0" fontId="4" fillId="0" borderId="1" xfId="0" applyFont="1" applyBorder="1"/>
    <xf numFmtId="2" fontId="0" fillId="4" borderId="1" xfId="0" applyNumberFormat="1" applyFill="1" applyBorder="1"/>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9" fontId="4" fillId="4" borderId="1" xfId="0" applyNumberFormat="1" applyFont="1" applyFill="1" applyBorder="1"/>
    <xf numFmtId="164" fontId="0" fillId="0" borderId="1" xfId="0" applyNumberFormat="1" applyBorder="1"/>
    <xf numFmtId="164" fontId="0" fillId="4" borderId="1" xfId="0" applyNumberFormat="1" applyFill="1" applyBorder="1" applyAlignment="1">
      <alignment horizontal="center"/>
    </xf>
    <xf numFmtId="0" fontId="2" fillId="4" borderId="1" xfId="0" applyFont="1" applyFill="1" applyBorder="1" applyAlignment="1">
      <alignment horizontal="center"/>
    </xf>
    <xf numFmtId="0" fontId="4" fillId="0" borderId="0" xfId="0" applyFont="1" applyBorder="1" applyAlignment="1">
      <alignment horizontal="center"/>
    </xf>
    <xf numFmtId="0" fontId="0" fillId="0" borderId="0" xfId="0" applyBorder="1" applyAlignment="1"/>
    <xf numFmtId="10" fontId="0" fillId="4" borderId="1" xfId="0" applyNumberFormat="1" applyFill="1" applyBorder="1"/>
    <xf numFmtId="0" fontId="4" fillId="4" borderId="1" xfId="0" applyFont="1" applyFill="1" applyBorder="1" applyAlignment="1">
      <alignment horizontal="center" vertical="center"/>
    </xf>
    <xf numFmtId="0" fontId="0" fillId="6" borderId="0" xfId="0" applyFill="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164" fontId="0" fillId="0" borderId="3" xfId="0" applyNumberFormat="1" applyBorder="1"/>
    <xf numFmtId="0" fontId="4" fillId="0" borderId="5" xfId="0" applyFont="1" applyBorder="1" applyAlignment="1">
      <alignment horizontal="center" vertical="center" wrapText="1"/>
    </xf>
    <xf numFmtId="0" fontId="4" fillId="0" borderId="1" xfId="0" applyFont="1" applyBorder="1" applyAlignment="1">
      <alignment horizontal="center"/>
    </xf>
    <xf numFmtId="0" fontId="0" fillId="3" borderId="0" xfId="0" applyFill="1" applyAlignment="1">
      <alignment horizontal="left" wrapText="1"/>
    </xf>
    <xf numFmtId="0" fontId="0" fillId="6" borderId="0" xfId="0" applyFill="1" applyAlignment="1">
      <alignment horizontal="left" wrapText="1"/>
    </xf>
    <xf numFmtId="0" fontId="0" fillId="3" borderId="0" xfId="0" applyFill="1" applyAlignment="1">
      <alignment horizontal="left"/>
    </xf>
    <xf numFmtId="0" fontId="0" fillId="2" borderId="0" xfId="0" applyFill="1" applyAlignment="1">
      <alignment horizontal="left" wrapText="1"/>
    </xf>
    <xf numFmtId="0" fontId="0" fillId="2" borderId="0" xfId="0" applyFill="1" applyAlignment="1">
      <alignment horizontal="left"/>
    </xf>
    <xf numFmtId="0" fontId="4" fillId="4" borderId="1" xfId="0" applyFont="1" applyFill="1" applyBorder="1" applyAlignment="1">
      <alignment horizontal="center"/>
    </xf>
    <xf numFmtId="0" fontId="2" fillId="4" borderId="1" xfId="0" applyFont="1" applyFill="1" applyBorder="1" applyAlignment="1">
      <alignment horizontal="center"/>
    </xf>
    <xf numFmtId="0" fontId="0" fillId="4" borderId="1" xfId="0"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xf>
    <xf numFmtId="0" fontId="4" fillId="0" borderId="4" xfId="0" applyFont="1" applyBorder="1" applyAlignment="1">
      <alignment horizont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0" fillId="0" borderId="0" xfId="0" applyAlignment="1">
      <alignment horizontal="left" wrapText="1"/>
    </xf>
    <xf numFmtId="0" fontId="0" fillId="7" borderId="0" xfId="0" applyFill="1" applyAlignment="1">
      <alignment horizontal="left" wrapText="1"/>
    </xf>
    <xf numFmtId="0" fontId="4" fillId="8" borderId="0" xfId="0" applyFont="1" applyFill="1" applyAlignment="1">
      <alignment horizontal="right"/>
    </xf>
    <xf numFmtId="0" fontId="0" fillId="0" borderId="1" xfId="0" applyBorder="1" applyAlignment="1">
      <alignment horizontal="right"/>
    </xf>
    <xf numFmtId="0" fontId="0" fillId="0" borderId="0" xfId="0" applyBorder="1" applyAlignment="1">
      <alignment horizont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9" fontId="2" fillId="4" borderId="2" xfId="0" applyNumberFormat="1" applyFont="1"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0" fillId="0" borderId="1" xfId="0" applyBorder="1" applyAlignment="1">
      <alignment horizontal="center"/>
    </xf>
    <xf numFmtId="0" fontId="0" fillId="0" borderId="9" xfId="0" applyBorder="1" applyAlignment="1">
      <alignment horizontal="center" wrapText="1"/>
    </xf>
    <xf numFmtId="0" fontId="0" fillId="0" borderId="8" xfId="0" applyBorder="1" applyAlignment="1">
      <alignment horizontal="center" wrapText="1"/>
    </xf>
    <xf numFmtId="0" fontId="0" fillId="0" borderId="1" xfId="0" applyBorder="1" applyAlignment="1">
      <alignment horizontal="left"/>
    </xf>
    <xf numFmtId="9" fontId="0" fillId="0" borderId="1" xfId="1" applyFont="1" applyBorder="1" applyAlignment="1">
      <alignment horizontal="left"/>
    </xf>
    <xf numFmtId="2" fontId="0" fillId="0" borderId="1" xfId="0" applyNumberFormat="1" applyBorder="1" applyAlignment="1">
      <alignment horizontal="center"/>
    </xf>
    <xf numFmtId="0" fontId="0" fillId="9" borderId="0" xfId="0" applyFill="1" applyAlignment="1">
      <alignment horizontal="left"/>
    </xf>
    <xf numFmtId="0" fontId="0" fillId="9" borderId="0" xfId="0" applyFill="1" applyAlignment="1">
      <alignment horizontal="left" wrapText="1"/>
    </xf>
    <xf numFmtId="0" fontId="0" fillId="7" borderId="0" xfId="0" applyFill="1" applyAlignment="1">
      <alignment horizontal="left"/>
    </xf>
    <xf numFmtId="0" fontId="0" fillId="0" borderId="1" xfId="0" applyFill="1" applyBorder="1" applyAlignment="1">
      <alignment horizontal="right"/>
    </xf>
    <xf numFmtId="0" fontId="4" fillId="9" borderId="0" xfId="0" applyFont="1" applyFill="1" applyAlignment="1">
      <alignment horizontal="left"/>
    </xf>
    <xf numFmtId="0" fontId="4" fillId="9" borderId="0" xfId="0" applyFont="1" applyFill="1" applyAlignment="1">
      <alignment horizontal="left" wrapText="1"/>
    </xf>
    <xf numFmtId="0" fontId="4" fillId="10" borderId="0" xfId="0" applyFont="1" applyFill="1" applyAlignment="1">
      <alignment horizontal="right"/>
    </xf>
    <xf numFmtId="2" fontId="0" fillId="0" borderId="1" xfId="1" applyNumberFormat="1" applyFont="1" applyBorder="1" applyAlignment="1">
      <alignment horizontal="left"/>
    </xf>
    <xf numFmtId="0" fontId="2" fillId="0" borderId="1" xfId="0" applyFont="1" applyFill="1" applyBorder="1" applyAlignment="1">
      <alignment horizontal="center" vertical="center" wrapText="1"/>
    </xf>
    <xf numFmtId="9" fontId="0" fillId="0" borderId="1" xfId="1" applyFont="1" applyBorder="1" applyAlignment="1">
      <alignment horizontal="center"/>
    </xf>
    <xf numFmtId="2" fontId="0" fillId="0" borderId="1" xfId="0" applyNumberFormat="1" applyBorder="1"/>
    <xf numFmtId="10" fontId="4" fillId="0" borderId="1" xfId="0" applyNumberFormat="1" applyFont="1" applyBorder="1" applyAlignment="1">
      <alignment horizontal="center"/>
    </xf>
    <xf numFmtId="0" fontId="0" fillId="7" borderId="0" xfId="0" applyFill="1"/>
    <xf numFmtId="174" fontId="0" fillId="0" borderId="1" xfId="0" applyNumberFormat="1" applyBorder="1"/>
    <xf numFmtId="0" fontId="4" fillId="7" borderId="1" xfId="0" applyFont="1" applyFill="1" applyBorder="1" applyAlignment="1">
      <alignment horizontal="center"/>
    </xf>
    <xf numFmtId="9" fontId="4" fillId="7" borderId="1" xfId="0" applyNumberFormat="1" applyFont="1" applyFill="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2" fillId="0" borderId="9" xfId="0" applyFont="1" applyBorder="1" applyAlignment="1">
      <alignment horizontal="center"/>
    </xf>
    <xf numFmtId="0" fontId="2" fillId="0" borderId="1" xfId="0" applyFont="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VAN</a:t>
            </a:r>
            <a:r>
              <a:rPr lang="es-ES" baseline="0"/>
              <a:t> vs TASA</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'21'!$I$9:$I$15</c:f>
              <c:numCache>
                <c:formatCode>0.00</c:formatCode>
                <c:ptCount val="7"/>
                <c:pt idx="0">
                  <c:v>0.1</c:v>
                </c:pt>
                <c:pt idx="1">
                  <c:v>0.12</c:v>
                </c:pt>
                <c:pt idx="2">
                  <c:v>0.14000000000000001</c:v>
                </c:pt>
                <c:pt idx="3">
                  <c:v>0.16</c:v>
                </c:pt>
                <c:pt idx="4">
                  <c:v>0.18</c:v>
                </c:pt>
                <c:pt idx="5">
                  <c:v>0.2</c:v>
                </c:pt>
                <c:pt idx="6">
                  <c:v>0.22</c:v>
                </c:pt>
              </c:numCache>
            </c:numRef>
          </c:xVal>
          <c:yVal>
            <c:numRef>
              <c:f>'21'!$J$9:$J$15</c:f>
              <c:numCache>
                <c:formatCode>0</c:formatCode>
                <c:ptCount val="7"/>
                <c:pt idx="0">
                  <c:v>1956.628645584316</c:v>
                </c:pt>
                <c:pt idx="1">
                  <c:v>1507.0454042586402</c:v>
                </c:pt>
                <c:pt idx="2">
                  <c:v>1088.8230306154737</c:v>
                </c:pt>
                <c:pt idx="3">
                  <c:v>699.15917435927304</c:v>
                </c:pt>
                <c:pt idx="4">
                  <c:v>335.55053777798639</c:v>
                </c:pt>
                <c:pt idx="5">
                  <c:v>-4.2438271604924012</c:v>
                </c:pt>
                <c:pt idx="6">
                  <c:v>-322.23416403525107</c:v>
                </c:pt>
              </c:numCache>
            </c:numRef>
          </c:yVal>
          <c:smooth val="0"/>
          <c:extLst>
            <c:ext xmlns:c16="http://schemas.microsoft.com/office/drawing/2014/chart" uri="{C3380CC4-5D6E-409C-BE32-E72D297353CC}">
              <c16:uniqueId val="{00000000-0A6B-4088-913B-9B9A712E053C}"/>
            </c:ext>
          </c:extLst>
        </c:ser>
        <c:dLbls>
          <c:showLegendKey val="0"/>
          <c:showVal val="0"/>
          <c:showCatName val="0"/>
          <c:showSerName val="0"/>
          <c:showPercent val="0"/>
          <c:showBubbleSize val="0"/>
        </c:dLbls>
        <c:axId val="417326256"/>
        <c:axId val="417331176"/>
      </c:scatterChart>
      <c:valAx>
        <c:axId val="417326256"/>
        <c:scaling>
          <c:orientation val="minMax"/>
          <c:max val="0.22000000000000003"/>
          <c:min val="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TASA</a:t>
                </a:r>
                <a:r>
                  <a:rPr lang="es-ES" baseline="0"/>
                  <a:t> (%)</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17331176"/>
        <c:crosses val="autoZero"/>
        <c:crossBetween val="midCat"/>
        <c:majorUnit val="2.0000000000000004E-2"/>
      </c:valAx>
      <c:valAx>
        <c:axId val="417331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VAN ($)</a:t>
                </a:r>
              </a:p>
            </c:rich>
          </c:tx>
          <c:layout>
            <c:manualLayout>
              <c:xMode val="edge"/>
              <c:yMode val="edge"/>
              <c:x val="3.0555555555555555E-2"/>
              <c:y val="0.401805555555555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17326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361950</xdr:colOff>
      <xdr:row>6</xdr:row>
      <xdr:rowOff>61912</xdr:rowOff>
    </xdr:from>
    <xdr:to>
      <xdr:col>16</xdr:col>
      <xdr:colOff>361950</xdr:colOff>
      <xdr:row>20</xdr:row>
      <xdr:rowOff>138112</xdr:rowOff>
    </xdr:to>
    <xdr:graphicFrame macro="">
      <xdr:nvGraphicFramePr>
        <xdr:cNvPr id="4" name="Gráfico 3">
          <a:extLst>
            <a:ext uri="{FF2B5EF4-FFF2-40B4-BE49-F238E27FC236}">
              <a16:creationId xmlns:a16="http://schemas.microsoft.com/office/drawing/2014/main" id="{1D3CFAE1-414C-41B0-B8B0-B1F716C1F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E0E5D-C7CF-4B14-BD50-0353D6E6E691}">
  <dimension ref="A1:Q73"/>
  <sheetViews>
    <sheetView workbookViewId="0">
      <selection activeCell="K36" sqref="K36"/>
    </sheetView>
  </sheetViews>
  <sheetFormatPr baseColWidth="10" defaultRowHeight="15" x14ac:dyDescent="0.25"/>
  <cols>
    <col min="2" max="2" width="15.5703125" customWidth="1"/>
  </cols>
  <sheetData>
    <row r="1" spans="1:11" x14ac:dyDescent="0.25">
      <c r="A1" s="14" t="s">
        <v>15</v>
      </c>
    </row>
    <row r="2" spans="1:11" ht="15" customHeight="1" x14ac:dyDescent="0.25">
      <c r="A2" s="27"/>
      <c r="B2" s="51" t="s">
        <v>27</v>
      </c>
      <c r="C2" s="51"/>
      <c r="D2" s="51"/>
      <c r="E2" s="51"/>
      <c r="F2" s="51"/>
      <c r="G2" s="51"/>
      <c r="H2" s="51"/>
      <c r="I2" s="51"/>
      <c r="J2" s="51"/>
      <c r="K2" s="51"/>
    </row>
    <row r="3" spans="1:11" x14ac:dyDescent="0.25">
      <c r="A3" s="27"/>
      <c r="B3" s="51"/>
      <c r="C3" s="51"/>
      <c r="D3" s="51"/>
      <c r="E3" s="51"/>
      <c r="F3" s="51"/>
      <c r="G3" s="51"/>
      <c r="H3" s="51"/>
      <c r="I3" s="51"/>
      <c r="J3" s="51"/>
      <c r="K3" s="51"/>
    </row>
    <row r="4" spans="1:11" x14ac:dyDescent="0.25">
      <c r="A4" s="27"/>
      <c r="B4" s="51"/>
      <c r="C4" s="51"/>
      <c r="D4" s="51"/>
      <c r="E4" s="51"/>
      <c r="F4" s="51"/>
      <c r="G4" s="51"/>
      <c r="H4" s="51"/>
      <c r="I4" s="51"/>
      <c r="J4" s="51"/>
      <c r="K4" s="51"/>
    </row>
    <row r="5" spans="1:11" x14ac:dyDescent="0.25">
      <c r="B5" s="10"/>
      <c r="C5" s="10"/>
    </row>
    <row r="6" spans="1:11" x14ac:dyDescent="0.25">
      <c r="A6" s="6"/>
      <c r="B6" s="1"/>
      <c r="C6" s="13" t="s">
        <v>2</v>
      </c>
      <c r="D6" s="13" t="s">
        <v>3</v>
      </c>
      <c r="E6" s="13" t="s">
        <v>4</v>
      </c>
      <c r="F6" s="13" t="s">
        <v>5</v>
      </c>
      <c r="G6" s="13" t="s">
        <v>6</v>
      </c>
    </row>
    <row r="7" spans="1:11" x14ac:dyDescent="0.25">
      <c r="B7" s="2" t="s">
        <v>0</v>
      </c>
      <c r="C7" s="1">
        <v>-8000</v>
      </c>
      <c r="D7" s="1">
        <v>-4000</v>
      </c>
      <c r="E7" s="1">
        <v>-4500</v>
      </c>
      <c r="F7" s="1">
        <v>-4500</v>
      </c>
      <c r="G7" s="1">
        <v>-4500</v>
      </c>
    </row>
    <row r="8" spans="1:11" x14ac:dyDescent="0.25">
      <c r="B8" s="2" t="s">
        <v>1</v>
      </c>
      <c r="C8" s="1"/>
      <c r="D8" s="1">
        <v>6500</v>
      </c>
      <c r="E8" s="1">
        <v>7500</v>
      </c>
      <c r="F8" s="1">
        <v>7700</v>
      </c>
      <c r="G8" s="1">
        <v>8600</v>
      </c>
      <c r="I8" s="8" t="s">
        <v>19</v>
      </c>
      <c r="J8" s="8" t="s">
        <v>11</v>
      </c>
    </row>
    <row r="9" spans="1:11" x14ac:dyDescent="0.25">
      <c r="B9" s="2" t="s">
        <v>16</v>
      </c>
      <c r="C9" s="1">
        <f>SUM(C7:C8)</f>
        <v>-8000</v>
      </c>
      <c r="D9" s="1">
        <f t="shared" ref="D9:G9" si="0">SUM(D7:D8)</f>
        <v>2500</v>
      </c>
      <c r="E9" s="1">
        <f t="shared" si="0"/>
        <v>3000</v>
      </c>
      <c r="F9" s="1">
        <f t="shared" si="0"/>
        <v>3200</v>
      </c>
      <c r="G9" s="1">
        <f t="shared" si="0"/>
        <v>4100</v>
      </c>
      <c r="I9" s="18">
        <v>0.1</v>
      </c>
      <c r="J9" s="19">
        <f>G19</f>
        <v>1956.628645584316</v>
      </c>
    </row>
    <row r="10" spans="1:11" x14ac:dyDescent="0.25">
      <c r="I10" s="18">
        <v>0.12</v>
      </c>
      <c r="J10" s="19">
        <f>G28</f>
        <v>1507.0454042586402</v>
      </c>
    </row>
    <row r="11" spans="1:11" x14ac:dyDescent="0.25">
      <c r="I11" s="18">
        <v>0.14000000000000001</v>
      </c>
      <c r="J11" s="19">
        <f>G37</f>
        <v>1088.8230306154737</v>
      </c>
    </row>
    <row r="12" spans="1:11" x14ac:dyDescent="0.25">
      <c r="B12" s="17" t="s">
        <v>8</v>
      </c>
      <c r="C12" s="15">
        <v>0.1</v>
      </c>
      <c r="I12" s="18">
        <v>0.16</v>
      </c>
      <c r="J12" s="19">
        <f>G46</f>
        <v>699.15917435927304</v>
      </c>
    </row>
    <row r="13" spans="1:11" x14ac:dyDescent="0.25">
      <c r="I13" s="18">
        <v>0.18</v>
      </c>
      <c r="J13" s="19">
        <f>G55</f>
        <v>335.55053777798639</v>
      </c>
    </row>
    <row r="14" spans="1:11" x14ac:dyDescent="0.25">
      <c r="B14" s="13" t="s">
        <v>9</v>
      </c>
      <c r="C14" s="13">
        <v>0</v>
      </c>
      <c r="D14" s="13">
        <v>1</v>
      </c>
      <c r="E14" s="13">
        <v>2</v>
      </c>
      <c r="F14" s="13">
        <v>3</v>
      </c>
      <c r="G14" s="13">
        <v>4</v>
      </c>
      <c r="I14" s="20">
        <v>0.2</v>
      </c>
      <c r="J14" s="19">
        <f>G64</f>
        <v>-4.2438271604924012</v>
      </c>
    </row>
    <row r="15" spans="1:11" x14ac:dyDescent="0.25">
      <c r="B15" s="2" t="s">
        <v>13</v>
      </c>
      <c r="C15" s="1">
        <f>C7/(1+$C$12)^C14</f>
        <v>-8000</v>
      </c>
      <c r="D15" s="1">
        <f t="shared" ref="D15:G15" si="1">D7/(1+$C$12)^D14</f>
        <v>-3636.363636363636</v>
      </c>
      <c r="E15" s="1">
        <f t="shared" si="1"/>
        <v>-3719.0082644628092</v>
      </c>
      <c r="F15" s="1">
        <f t="shared" si="1"/>
        <v>-3380.916604057099</v>
      </c>
      <c r="G15" s="1">
        <f t="shared" si="1"/>
        <v>-3073.5605491428173</v>
      </c>
      <c r="I15" s="18">
        <v>0.22</v>
      </c>
      <c r="J15" s="19">
        <f>G73</f>
        <v>-322.23416403525107</v>
      </c>
    </row>
    <row r="16" spans="1:11" x14ac:dyDescent="0.25">
      <c r="B16" s="2" t="s">
        <v>14</v>
      </c>
      <c r="C16" s="1">
        <f>C8/(1+$C$12)^C14</f>
        <v>0</v>
      </c>
      <c r="D16" s="1">
        <f t="shared" ref="D16:G16" si="2">D8/(1+$C$12)^D14</f>
        <v>5909.090909090909</v>
      </c>
      <c r="E16" s="1">
        <f t="shared" si="2"/>
        <v>6198.3471074380159</v>
      </c>
      <c r="F16" s="1">
        <f t="shared" si="2"/>
        <v>5785.1239669421466</v>
      </c>
      <c r="G16" s="1">
        <f t="shared" si="2"/>
        <v>5873.915716139606</v>
      </c>
    </row>
    <row r="17" spans="2:17" x14ac:dyDescent="0.25">
      <c r="B17" s="2" t="s">
        <v>10</v>
      </c>
      <c r="C17" s="1">
        <f>SUM(C15:C16)</f>
        <v>-8000</v>
      </c>
      <c r="D17" s="1">
        <f t="shared" ref="D17:G17" si="3">SUM(D15:D16)</f>
        <v>2272.727272727273</v>
      </c>
      <c r="E17" s="1">
        <f t="shared" si="3"/>
        <v>2479.3388429752067</v>
      </c>
      <c r="F17" s="1">
        <f t="shared" si="3"/>
        <v>2404.2073628850476</v>
      </c>
      <c r="G17" s="1">
        <f t="shared" si="3"/>
        <v>2800.3551669967887</v>
      </c>
    </row>
    <row r="19" spans="2:17" x14ac:dyDescent="0.25">
      <c r="F19" s="17" t="s">
        <v>17</v>
      </c>
      <c r="G19" s="16">
        <f>SUM(C17:G17)</f>
        <v>1956.628645584316</v>
      </c>
    </row>
    <row r="21" spans="2:17" x14ac:dyDescent="0.25">
      <c r="B21" s="17" t="s">
        <v>8</v>
      </c>
      <c r="C21" s="15">
        <v>0.12</v>
      </c>
    </row>
    <row r="22" spans="2:17" ht="15" customHeight="1" x14ac:dyDescent="0.25">
      <c r="I22" s="28"/>
      <c r="J22" s="28"/>
      <c r="K22" s="28"/>
      <c r="L22" s="28"/>
      <c r="M22" s="28"/>
      <c r="N22" s="28"/>
      <c r="O22" s="28"/>
      <c r="P22" s="28"/>
    </row>
    <row r="23" spans="2:17" ht="15" customHeight="1" x14ac:dyDescent="0.25">
      <c r="B23" s="13" t="s">
        <v>9</v>
      </c>
      <c r="C23" s="13">
        <v>0</v>
      </c>
      <c r="D23" s="13">
        <v>1</v>
      </c>
      <c r="E23" s="13">
        <v>2</v>
      </c>
      <c r="F23" s="13">
        <v>3</v>
      </c>
      <c r="G23" s="13">
        <v>4</v>
      </c>
      <c r="I23" s="28"/>
      <c r="J23" s="52" t="s">
        <v>28</v>
      </c>
      <c r="K23" s="52"/>
      <c r="L23" s="52"/>
      <c r="M23" s="52"/>
      <c r="N23" s="52"/>
      <c r="O23" s="52"/>
      <c r="P23" s="52"/>
      <c r="Q23" s="28"/>
    </row>
    <row r="24" spans="2:17" x14ac:dyDescent="0.25">
      <c r="B24" s="2" t="s">
        <v>13</v>
      </c>
      <c r="C24" s="1">
        <f>C7/(1+$C$21)^C23</f>
        <v>-8000</v>
      </c>
      <c r="D24" s="1">
        <f t="shared" ref="D24:G24" si="4">D7/(1+$C$21)^D23</f>
        <v>-3571.4285714285711</v>
      </c>
      <c r="E24" s="1">
        <f t="shared" si="4"/>
        <v>-3587.3724489795914</v>
      </c>
      <c r="F24" s="1">
        <f t="shared" si="4"/>
        <v>-3203.0111151603492</v>
      </c>
      <c r="G24" s="1">
        <f t="shared" si="4"/>
        <v>-2859.8313528217404</v>
      </c>
      <c r="I24" s="28"/>
      <c r="J24" s="52"/>
      <c r="K24" s="52"/>
      <c r="L24" s="52"/>
      <c r="M24" s="52"/>
      <c r="N24" s="52"/>
      <c r="O24" s="52"/>
      <c r="P24" s="52"/>
      <c r="Q24" s="28"/>
    </row>
    <row r="25" spans="2:17" x14ac:dyDescent="0.25">
      <c r="B25" s="2" t="s">
        <v>14</v>
      </c>
      <c r="C25" s="1">
        <f>C8/(1+$C$21)^C23</f>
        <v>0</v>
      </c>
      <c r="D25" s="1">
        <f t="shared" ref="D25:G25" si="5">D8/(1+$C$21)^D23</f>
        <v>5803.5714285714284</v>
      </c>
      <c r="E25" s="1">
        <f t="shared" si="5"/>
        <v>5978.9540816326526</v>
      </c>
      <c r="F25" s="1">
        <f t="shared" si="5"/>
        <v>5480.7079081632637</v>
      </c>
      <c r="G25" s="1">
        <f t="shared" si="5"/>
        <v>5465.455474281548</v>
      </c>
      <c r="I25" s="28"/>
      <c r="J25" s="52"/>
      <c r="K25" s="52"/>
      <c r="L25" s="52"/>
      <c r="M25" s="52"/>
      <c r="N25" s="52"/>
      <c r="O25" s="52"/>
      <c r="P25" s="52"/>
      <c r="Q25" s="28"/>
    </row>
    <row r="26" spans="2:17" x14ac:dyDescent="0.25">
      <c r="B26" s="2" t="s">
        <v>10</v>
      </c>
      <c r="C26" s="1">
        <f>SUM(C24:C25)</f>
        <v>-8000</v>
      </c>
      <c r="D26" s="1">
        <f t="shared" ref="D26" si="6">SUM(D24:D25)</f>
        <v>2232.1428571428573</v>
      </c>
      <c r="E26" s="1">
        <f t="shared" ref="E26" si="7">SUM(E24:E25)</f>
        <v>2391.5816326530612</v>
      </c>
      <c r="F26" s="1">
        <f t="shared" ref="F26" si="8">SUM(F24:F25)</f>
        <v>2277.6967930029145</v>
      </c>
      <c r="G26" s="1">
        <f t="shared" ref="G26" si="9">SUM(G24:G25)</f>
        <v>2605.6241214598076</v>
      </c>
      <c r="I26" s="28"/>
      <c r="J26" s="29"/>
      <c r="K26" s="29"/>
      <c r="L26" s="29"/>
      <c r="M26" s="29"/>
      <c r="N26" s="29"/>
      <c r="O26" s="29"/>
      <c r="P26" s="29"/>
      <c r="Q26" s="28"/>
    </row>
    <row r="27" spans="2:17" ht="15" customHeight="1" x14ac:dyDescent="0.25">
      <c r="I27" s="28"/>
      <c r="J27" s="52" t="s">
        <v>29</v>
      </c>
      <c r="K27" s="52"/>
      <c r="L27" s="52"/>
      <c r="M27" s="52"/>
      <c r="N27" s="52"/>
      <c r="O27" s="52"/>
      <c r="P27" s="52"/>
    </row>
    <row r="28" spans="2:17" x14ac:dyDescent="0.25">
      <c r="F28" s="17" t="s">
        <v>18</v>
      </c>
      <c r="G28" s="16">
        <f>SUM(C26:G26)</f>
        <v>1507.0454042586402</v>
      </c>
      <c r="I28" s="28"/>
      <c r="J28" s="52"/>
      <c r="K28" s="52"/>
      <c r="L28" s="52"/>
      <c r="M28" s="52"/>
      <c r="N28" s="52"/>
      <c r="O28" s="52"/>
      <c r="P28" s="52"/>
    </row>
    <row r="29" spans="2:17" ht="15" customHeight="1" x14ac:dyDescent="0.25">
      <c r="I29" s="28"/>
      <c r="J29" s="52"/>
      <c r="K29" s="52"/>
      <c r="L29" s="52"/>
      <c r="M29" s="52"/>
      <c r="N29" s="52"/>
      <c r="O29" s="52"/>
      <c r="P29" s="52"/>
    </row>
    <row r="30" spans="2:17" x14ac:dyDescent="0.25">
      <c r="B30" s="17" t="s">
        <v>8</v>
      </c>
      <c r="C30" s="15">
        <v>0.14000000000000001</v>
      </c>
      <c r="J30" s="52"/>
      <c r="K30" s="52"/>
      <c r="L30" s="52"/>
      <c r="M30" s="52"/>
      <c r="N30" s="52"/>
      <c r="O30" s="52"/>
      <c r="P30" s="52"/>
    </row>
    <row r="31" spans="2:17" x14ac:dyDescent="0.25">
      <c r="J31" s="52"/>
      <c r="K31" s="52"/>
      <c r="L31" s="52"/>
      <c r="M31" s="52"/>
      <c r="N31" s="52"/>
      <c r="O31" s="52"/>
      <c r="P31" s="52"/>
    </row>
    <row r="32" spans="2:17" x14ac:dyDescent="0.25">
      <c r="B32" s="13" t="s">
        <v>9</v>
      </c>
      <c r="C32" s="13">
        <v>0</v>
      </c>
      <c r="D32" s="13">
        <v>1</v>
      </c>
      <c r="E32" s="13">
        <v>2</v>
      </c>
      <c r="F32" s="13">
        <v>3</v>
      </c>
      <c r="G32" s="13">
        <v>4</v>
      </c>
    </row>
    <row r="33" spans="2:7" x14ac:dyDescent="0.25">
      <c r="B33" s="2" t="s">
        <v>13</v>
      </c>
      <c r="C33" s="1">
        <f>C7/(1+$C$30)^C32</f>
        <v>-8000</v>
      </c>
      <c r="D33" s="1">
        <f t="shared" ref="D33:G33" si="10">D7/(1+$C$30)^D32</f>
        <v>-3508.7719298245611</v>
      </c>
      <c r="E33" s="1">
        <f t="shared" si="10"/>
        <v>-3462.6038781163425</v>
      </c>
      <c r="F33" s="1">
        <f t="shared" si="10"/>
        <v>-3037.3718229090723</v>
      </c>
      <c r="G33" s="1">
        <f t="shared" si="10"/>
        <v>-2664.3612481658524</v>
      </c>
    </row>
    <row r="34" spans="2:7" x14ac:dyDescent="0.25">
      <c r="B34" s="2" t="s">
        <v>14</v>
      </c>
      <c r="C34" s="1">
        <f>C8/(1+$C$30)^C32</f>
        <v>0</v>
      </c>
      <c r="D34" s="1">
        <f t="shared" ref="D34:G34" si="11">D8/(1+$C$30)^D32</f>
        <v>5701.7543859649113</v>
      </c>
      <c r="E34" s="1">
        <f t="shared" si="11"/>
        <v>5771.0064635272374</v>
      </c>
      <c r="F34" s="1">
        <f t="shared" si="11"/>
        <v>5197.2806747555242</v>
      </c>
      <c r="G34" s="1">
        <f t="shared" si="11"/>
        <v>5091.8903853836291</v>
      </c>
    </row>
    <row r="35" spans="2:7" x14ac:dyDescent="0.25">
      <c r="B35" s="2" t="s">
        <v>10</v>
      </c>
      <c r="C35" s="1">
        <f>SUM(C33:C34)</f>
        <v>-8000</v>
      </c>
      <c r="D35" s="1">
        <f t="shared" ref="D35" si="12">SUM(D33:D34)</f>
        <v>2192.9824561403502</v>
      </c>
      <c r="E35" s="1">
        <f t="shared" ref="E35" si="13">SUM(E33:E34)</f>
        <v>2308.402585410895</v>
      </c>
      <c r="F35" s="1">
        <f t="shared" ref="F35" si="14">SUM(F33:F34)</f>
        <v>2159.9088518464519</v>
      </c>
      <c r="G35" s="1">
        <f t="shared" ref="G35" si="15">SUM(G33:G34)</f>
        <v>2427.5291372177767</v>
      </c>
    </row>
    <row r="37" spans="2:7" x14ac:dyDescent="0.25">
      <c r="F37" s="17" t="s">
        <v>18</v>
      </c>
      <c r="G37" s="16">
        <f>SUM(C35:G35)</f>
        <v>1088.8230306154737</v>
      </c>
    </row>
    <row r="39" spans="2:7" x14ac:dyDescent="0.25">
      <c r="B39" s="17" t="s">
        <v>8</v>
      </c>
      <c r="C39" s="15">
        <v>0.16</v>
      </c>
    </row>
    <row r="41" spans="2:7" x14ac:dyDescent="0.25">
      <c r="B41" s="13" t="s">
        <v>9</v>
      </c>
      <c r="C41" s="13">
        <v>0</v>
      </c>
      <c r="D41" s="13">
        <v>1</v>
      </c>
      <c r="E41" s="13">
        <v>2</v>
      </c>
      <c r="F41" s="13">
        <v>3</v>
      </c>
      <c r="G41" s="13">
        <v>4</v>
      </c>
    </row>
    <row r="42" spans="2:7" x14ac:dyDescent="0.25">
      <c r="B42" s="2" t="s">
        <v>13</v>
      </c>
      <c r="C42" s="1">
        <f>C7/(1+$C$39)^C41</f>
        <v>-8000</v>
      </c>
      <c r="D42" s="1">
        <f t="shared" ref="D42:G42" si="16">D7/(1+$C$39)^D41</f>
        <v>-3448.2758620689656</v>
      </c>
      <c r="E42" s="1">
        <f t="shared" si="16"/>
        <v>-3344.2330558858503</v>
      </c>
      <c r="F42" s="1">
        <f t="shared" si="16"/>
        <v>-2882.959530936078</v>
      </c>
      <c r="G42" s="1">
        <f t="shared" si="16"/>
        <v>-2485.3099404621362</v>
      </c>
    </row>
    <row r="43" spans="2:7" x14ac:dyDescent="0.25">
      <c r="B43" s="2" t="s">
        <v>14</v>
      </c>
      <c r="C43" s="1">
        <f>C8/(1+$C$39)^C41</f>
        <v>0</v>
      </c>
      <c r="D43" s="1">
        <f t="shared" ref="D43:G43" si="17">D8/(1+$C$39)^D41</f>
        <v>5603.4482758620697</v>
      </c>
      <c r="E43" s="1">
        <f t="shared" si="17"/>
        <v>5573.7217598097504</v>
      </c>
      <c r="F43" s="1">
        <f t="shared" si="17"/>
        <v>4933.0640862684004</v>
      </c>
      <c r="G43" s="1">
        <f t="shared" si="17"/>
        <v>4749.7034417720824</v>
      </c>
    </row>
    <row r="44" spans="2:7" x14ac:dyDescent="0.25">
      <c r="B44" s="2" t="s">
        <v>10</v>
      </c>
      <c r="C44" s="1">
        <f>SUM(C42:C43)</f>
        <v>-8000</v>
      </c>
      <c r="D44" s="1">
        <f t="shared" ref="D44" si="18">SUM(D42:D43)</f>
        <v>2155.1724137931042</v>
      </c>
      <c r="E44" s="1">
        <f t="shared" ref="E44" si="19">SUM(E42:E43)</f>
        <v>2229.4887039239002</v>
      </c>
      <c r="F44" s="1">
        <f t="shared" ref="F44" si="20">SUM(F42:F43)</f>
        <v>2050.1045553323224</v>
      </c>
      <c r="G44" s="1">
        <f t="shared" ref="G44" si="21">SUM(G42:G43)</f>
        <v>2264.3935013099463</v>
      </c>
    </row>
    <row r="46" spans="2:7" x14ac:dyDescent="0.25">
      <c r="F46" s="17" t="s">
        <v>18</v>
      </c>
      <c r="G46" s="16">
        <f>SUM(C44:G44)</f>
        <v>699.15917435927304</v>
      </c>
    </row>
    <row r="48" spans="2:7" x14ac:dyDescent="0.25">
      <c r="B48" s="17" t="s">
        <v>8</v>
      </c>
      <c r="C48" s="15">
        <v>0.18</v>
      </c>
    </row>
    <row r="50" spans="2:7" x14ac:dyDescent="0.25">
      <c r="B50" s="13" t="s">
        <v>9</v>
      </c>
      <c r="C50" s="13">
        <v>0</v>
      </c>
      <c r="D50" s="13">
        <v>1</v>
      </c>
      <c r="E50" s="13">
        <v>2</v>
      </c>
      <c r="F50" s="13">
        <v>3</v>
      </c>
      <c r="G50" s="13">
        <v>4</v>
      </c>
    </row>
    <row r="51" spans="2:7" x14ac:dyDescent="0.25">
      <c r="B51" s="2" t="s">
        <v>13</v>
      </c>
      <c r="C51" s="1">
        <f>C7/(1+$C$48)^C50</f>
        <v>-8000</v>
      </c>
      <c r="D51" s="1">
        <f t="shared" ref="D51:G51" si="22">D7/(1+$C$48)^D50</f>
        <v>-3389.8305084745766</v>
      </c>
      <c r="E51" s="1">
        <f t="shared" si="22"/>
        <v>-3231.8299339270329</v>
      </c>
      <c r="F51" s="1">
        <f t="shared" si="22"/>
        <v>-2738.8389270568073</v>
      </c>
      <c r="G51" s="1">
        <f t="shared" si="22"/>
        <v>-2321.0499381837353</v>
      </c>
    </row>
    <row r="52" spans="2:7" ht="15" customHeight="1" x14ac:dyDescent="0.25">
      <c r="B52" s="2" t="s">
        <v>14</v>
      </c>
      <c r="C52" s="1">
        <f>C8/(1+$C$48)^C50</f>
        <v>0</v>
      </c>
      <c r="D52" s="1">
        <f t="shared" ref="D52:G52" si="23">D8/(1+$C$48)^D50</f>
        <v>5508.4745762711864</v>
      </c>
      <c r="E52" s="1">
        <f t="shared" si="23"/>
        <v>5386.3832232117211</v>
      </c>
      <c r="F52" s="1">
        <f t="shared" si="23"/>
        <v>4686.4577196305372</v>
      </c>
      <c r="G52" s="1">
        <f t="shared" si="23"/>
        <v>4435.7843263066943</v>
      </c>
    </row>
    <row r="53" spans="2:7" x14ac:dyDescent="0.25">
      <c r="B53" s="2" t="s">
        <v>10</v>
      </c>
      <c r="C53" s="1">
        <f>SUM(C51:C52)</f>
        <v>-8000</v>
      </c>
      <c r="D53" s="1">
        <f t="shared" ref="D53" si="24">SUM(D51:D52)</f>
        <v>2118.6440677966098</v>
      </c>
      <c r="E53" s="1">
        <f t="shared" ref="E53" si="25">SUM(E51:E52)</f>
        <v>2154.5532892846882</v>
      </c>
      <c r="F53" s="1">
        <f t="shared" ref="F53" si="26">SUM(F51:F52)</f>
        <v>1947.6187925737299</v>
      </c>
      <c r="G53" s="1">
        <f t="shared" ref="G53" si="27">SUM(G51:G52)</f>
        <v>2114.734388122959</v>
      </c>
    </row>
    <row r="55" spans="2:7" x14ac:dyDescent="0.25">
      <c r="F55" s="17" t="s">
        <v>18</v>
      </c>
      <c r="G55" s="16">
        <f>SUM(C53:G53)</f>
        <v>335.55053777798639</v>
      </c>
    </row>
    <row r="57" spans="2:7" ht="15" customHeight="1" x14ac:dyDescent="0.25">
      <c r="B57" s="17" t="s">
        <v>8</v>
      </c>
      <c r="C57" s="15">
        <v>0.2</v>
      </c>
    </row>
    <row r="59" spans="2:7" x14ac:dyDescent="0.25">
      <c r="B59" s="13" t="s">
        <v>9</v>
      </c>
      <c r="C59" s="13">
        <v>0</v>
      </c>
      <c r="D59" s="13">
        <v>1</v>
      </c>
      <c r="E59" s="13">
        <v>2</v>
      </c>
      <c r="F59" s="13">
        <v>3</v>
      </c>
      <c r="G59" s="13">
        <v>4</v>
      </c>
    </row>
    <row r="60" spans="2:7" x14ac:dyDescent="0.25">
      <c r="B60" s="2" t="s">
        <v>13</v>
      </c>
      <c r="C60" s="1">
        <f>C7/(1+$C$57)^C59</f>
        <v>-8000</v>
      </c>
      <c r="D60" s="1">
        <f t="shared" ref="D60:G60" si="28">D7/(1+$C$57)^D59</f>
        <v>-3333.3333333333335</v>
      </c>
      <c r="E60" s="1">
        <f t="shared" si="28"/>
        <v>-3125</v>
      </c>
      <c r="F60" s="1">
        <f t="shared" si="28"/>
        <v>-2604.1666666666665</v>
      </c>
      <c r="G60" s="1">
        <f t="shared" si="28"/>
        <v>-2170.1388888888891</v>
      </c>
    </row>
    <row r="61" spans="2:7" x14ac:dyDescent="0.25">
      <c r="B61" s="2" t="s">
        <v>14</v>
      </c>
      <c r="C61" s="1">
        <f>C8/(1+$C$57)^C59</f>
        <v>0</v>
      </c>
      <c r="D61" s="1">
        <f t="shared" ref="D61:G61" si="29">D8/(1+$C$57)^D59</f>
        <v>5416.666666666667</v>
      </c>
      <c r="E61" s="1">
        <f t="shared" si="29"/>
        <v>5208.3333333333339</v>
      </c>
      <c r="F61" s="1">
        <f t="shared" si="29"/>
        <v>4456.0185185185182</v>
      </c>
      <c r="G61" s="1">
        <f t="shared" si="29"/>
        <v>4147.3765432098771</v>
      </c>
    </row>
    <row r="62" spans="2:7" x14ac:dyDescent="0.25">
      <c r="B62" s="2" t="s">
        <v>10</v>
      </c>
      <c r="C62" s="1">
        <f>SUM(C60:C61)</f>
        <v>-8000</v>
      </c>
      <c r="D62" s="1">
        <f t="shared" ref="D62" si="30">SUM(D60:D61)</f>
        <v>2083.3333333333335</v>
      </c>
      <c r="E62" s="1">
        <f t="shared" ref="E62" si="31">SUM(E60:E61)</f>
        <v>2083.3333333333339</v>
      </c>
      <c r="F62" s="1">
        <f t="shared" ref="F62" si="32">SUM(F60:F61)</f>
        <v>1851.8518518518517</v>
      </c>
      <c r="G62" s="1">
        <f t="shared" ref="G62" si="33">SUM(G60:G61)</f>
        <v>1977.237654320988</v>
      </c>
    </row>
    <row r="64" spans="2:7" x14ac:dyDescent="0.25">
      <c r="F64" s="17" t="s">
        <v>18</v>
      </c>
      <c r="G64" s="16">
        <f>SUM(C62:G62)</f>
        <v>-4.2438271604924012</v>
      </c>
    </row>
    <row r="66" spans="2:7" x14ac:dyDescent="0.25">
      <c r="B66" s="17" t="s">
        <v>8</v>
      </c>
      <c r="C66" s="15">
        <v>0.22</v>
      </c>
    </row>
    <row r="68" spans="2:7" x14ac:dyDescent="0.25">
      <c r="B68" s="13" t="s">
        <v>9</v>
      </c>
      <c r="C68" s="13">
        <v>0</v>
      </c>
      <c r="D68" s="13">
        <v>1</v>
      </c>
      <c r="E68" s="13">
        <v>2</v>
      </c>
      <c r="F68" s="13">
        <v>3</v>
      </c>
      <c r="G68" s="13">
        <v>4</v>
      </c>
    </row>
    <row r="69" spans="2:7" x14ac:dyDescent="0.25">
      <c r="B69" s="2" t="s">
        <v>13</v>
      </c>
      <c r="C69" s="1">
        <f>C7/(1+$C$66)^C68</f>
        <v>-8000</v>
      </c>
      <c r="D69" s="1">
        <f t="shared" ref="D69:G69" si="34">D7/(1+$C$66)^D68</f>
        <v>-3278.688524590164</v>
      </c>
      <c r="E69" s="1">
        <f t="shared" si="34"/>
        <v>-3023.3808116097825</v>
      </c>
      <c r="F69" s="1">
        <f t="shared" si="34"/>
        <v>-2478.1809931227726</v>
      </c>
      <c r="G69" s="1">
        <f t="shared" si="34"/>
        <v>-2031.2958960022729</v>
      </c>
    </row>
    <row r="70" spans="2:7" x14ac:dyDescent="0.25">
      <c r="B70" s="2" t="s">
        <v>14</v>
      </c>
      <c r="C70" s="1">
        <f>C8/(1+$C$66)^C68</f>
        <v>0</v>
      </c>
      <c r="D70" s="1">
        <f t="shared" ref="D70:G70" si="35">D8/(1+$C$66)^D68</f>
        <v>5327.8688524590161</v>
      </c>
      <c r="E70" s="1">
        <f t="shared" si="35"/>
        <v>5038.968019349637</v>
      </c>
      <c r="F70" s="1">
        <f t="shared" si="35"/>
        <v>4240.4430326767442</v>
      </c>
      <c r="G70" s="1">
        <f t="shared" si="35"/>
        <v>3882.0321568043437</v>
      </c>
    </row>
    <row r="71" spans="2:7" x14ac:dyDescent="0.25">
      <c r="B71" s="2" t="s">
        <v>10</v>
      </c>
      <c r="C71" s="1">
        <f>SUM(C69:C70)</f>
        <v>-8000</v>
      </c>
      <c r="D71" s="1">
        <f t="shared" ref="D71" si="36">SUM(D69:D70)</f>
        <v>2049.1803278688521</v>
      </c>
      <c r="E71" s="1">
        <f t="shared" ref="E71" si="37">SUM(E69:E70)</f>
        <v>2015.5872077398544</v>
      </c>
      <c r="F71" s="1">
        <f t="shared" ref="F71" si="38">SUM(F69:F70)</f>
        <v>1762.2620395539716</v>
      </c>
      <c r="G71" s="1">
        <f t="shared" ref="G71" si="39">SUM(G69:G70)</f>
        <v>1850.7362608020708</v>
      </c>
    </row>
    <row r="73" spans="2:7" x14ac:dyDescent="0.25">
      <c r="F73" s="17" t="s">
        <v>18</v>
      </c>
      <c r="G73" s="16">
        <f>SUM(C71:G71)</f>
        <v>-322.23416403525107</v>
      </c>
    </row>
  </sheetData>
  <mergeCells count="3">
    <mergeCell ref="B2:K4"/>
    <mergeCell ref="J23:P25"/>
    <mergeCell ref="J27:P3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D226-A6C8-42B9-8B6D-2F0A9041ECB3}">
  <dimension ref="A1:L29"/>
  <sheetViews>
    <sheetView workbookViewId="0">
      <selection activeCell="L5" sqref="L5"/>
    </sheetView>
  </sheetViews>
  <sheetFormatPr baseColWidth="10" defaultRowHeight="15" x14ac:dyDescent="0.25"/>
  <sheetData>
    <row r="1" spans="1:11" x14ac:dyDescent="0.25">
      <c r="A1" s="26" t="s">
        <v>20</v>
      </c>
    </row>
    <row r="2" spans="1:11" x14ac:dyDescent="0.25">
      <c r="B2" s="53" t="s">
        <v>30</v>
      </c>
      <c r="C2" s="53"/>
      <c r="D2" s="53"/>
      <c r="E2" s="53"/>
      <c r="F2" s="53"/>
      <c r="G2" s="53"/>
      <c r="H2" s="53"/>
      <c r="I2" s="53"/>
      <c r="J2" s="53"/>
    </row>
    <row r="4" spans="1:11" x14ac:dyDescent="0.25">
      <c r="A4" s="6"/>
      <c r="B4" s="1"/>
      <c r="C4" s="13" t="s">
        <v>2</v>
      </c>
      <c r="D4" s="13" t="s">
        <v>3</v>
      </c>
      <c r="E4" s="13" t="s">
        <v>4</v>
      </c>
      <c r="F4" s="13" t="s">
        <v>5</v>
      </c>
      <c r="G4" s="13" t="s">
        <v>6</v>
      </c>
    </row>
    <row r="5" spans="1:11" x14ac:dyDescent="0.25">
      <c r="B5" s="2" t="s">
        <v>0</v>
      </c>
      <c r="C5" s="1">
        <v>-8000</v>
      </c>
      <c r="D5" s="1">
        <v>-4000</v>
      </c>
      <c r="E5" s="1">
        <v>-4500</v>
      </c>
      <c r="F5" s="1">
        <v>-4500</v>
      </c>
      <c r="G5" s="1">
        <v>-4500</v>
      </c>
    </row>
    <row r="6" spans="1:11" x14ac:dyDescent="0.25">
      <c r="B6" s="2" t="s">
        <v>1</v>
      </c>
      <c r="C6" s="1"/>
      <c r="D6" s="1">
        <v>6500</v>
      </c>
      <c r="E6" s="1">
        <v>7500</v>
      </c>
      <c r="F6" s="1">
        <v>7700</v>
      </c>
      <c r="G6" s="1">
        <v>8600</v>
      </c>
    </row>
    <row r="7" spans="1:11" x14ac:dyDescent="0.25">
      <c r="B7" s="2" t="s">
        <v>16</v>
      </c>
      <c r="C7" s="1">
        <f>SUM(C5:C6)</f>
        <v>-8000</v>
      </c>
      <c r="D7" s="1">
        <f t="shared" ref="D7:G7" si="0">SUM(D5:D6)</f>
        <v>2500</v>
      </c>
      <c r="E7" s="1">
        <f t="shared" si="0"/>
        <v>3000</v>
      </c>
      <c r="F7" s="1">
        <f t="shared" si="0"/>
        <v>3200</v>
      </c>
      <c r="G7" s="1">
        <f t="shared" si="0"/>
        <v>4100</v>
      </c>
    </row>
    <row r="9" spans="1:11" x14ac:dyDescent="0.25">
      <c r="G9" s="22" t="s">
        <v>12</v>
      </c>
      <c r="H9" s="21">
        <f>IRR(C7:G7)</f>
        <v>0.19974179353572064</v>
      </c>
    </row>
    <row r="11" spans="1:11" x14ac:dyDescent="0.25">
      <c r="I11" s="56" t="s">
        <v>24</v>
      </c>
      <c r="J11" s="56"/>
      <c r="K11" s="9" t="s">
        <v>23</v>
      </c>
    </row>
    <row r="12" spans="1:11" x14ac:dyDescent="0.25">
      <c r="B12" s="17" t="s">
        <v>8</v>
      </c>
      <c r="C12" s="15">
        <v>0.12</v>
      </c>
      <c r="I12" s="57" t="s">
        <v>25</v>
      </c>
      <c r="J12" s="57"/>
    </row>
    <row r="14" spans="1:11" x14ac:dyDescent="0.25">
      <c r="B14" s="13" t="s">
        <v>9</v>
      </c>
      <c r="C14" s="13">
        <v>0</v>
      </c>
      <c r="D14" s="13">
        <v>1</v>
      </c>
      <c r="E14" s="13">
        <v>2</v>
      </c>
      <c r="F14" s="13">
        <v>3</v>
      </c>
      <c r="G14" s="13">
        <v>4</v>
      </c>
      <c r="I14" s="56" t="s">
        <v>21</v>
      </c>
      <c r="J14" s="56"/>
      <c r="K14" s="9" t="s">
        <v>23</v>
      </c>
    </row>
    <row r="15" spans="1:11" x14ac:dyDescent="0.25">
      <c r="B15" s="2" t="s">
        <v>13</v>
      </c>
      <c r="C15" s="1">
        <f>C5/(1+$C$12)^C14</f>
        <v>-8000</v>
      </c>
      <c r="D15" s="1">
        <f t="shared" ref="D15:G15" si="1">D5/(1+$C$12)^D14</f>
        <v>-3571.4285714285711</v>
      </c>
      <c r="E15" s="1">
        <f t="shared" si="1"/>
        <v>-3587.3724489795914</v>
      </c>
      <c r="F15" s="1">
        <f t="shared" si="1"/>
        <v>-3203.0111151603492</v>
      </c>
      <c r="G15" s="1">
        <f t="shared" si="1"/>
        <v>-2859.8313528217404</v>
      </c>
      <c r="I15" s="57" t="s">
        <v>22</v>
      </c>
      <c r="J15" s="57"/>
    </row>
    <row r="16" spans="1:11" x14ac:dyDescent="0.25">
      <c r="B16" s="2" t="s">
        <v>14</v>
      </c>
      <c r="C16" s="1">
        <f>C6/(1+$C$12)^C14</f>
        <v>0</v>
      </c>
      <c r="D16" s="1">
        <f t="shared" ref="D16:G16" si="2">D6/(1+$C$12)^D14</f>
        <v>5803.5714285714284</v>
      </c>
      <c r="E16" s="1">
        <f t="shared" si="2"/>
        <v>5978.9540816326526</v>
      </c>
      <c r="F16" s="1">
        <f t="shared" si="2"/>
        <v>5480.7079081632637</v>
      </c>
      <c r="G16" s="1">
        <f t="shared" si="2"/>
        <v>5465.455474281548</v>
      </c>
    </row>
    <row r="17" spans="2:12" x14ac:dyDescent="0.25">
      <c r="B17" s="2" t="s">
        <v>10</v>
      </c>
      <c r="C17" s="1">
        <f>SUM(C15:C16)</f>
        <v>-8000</v>
      </c>
      <c r="D17" s="1">
        <f t="shared" ref="D17:G17" si="3">SUM(D15:D16)</f>
        <v>2232.1428571428573</v>
      </c>
      <c r="E17" s="1">
        <f t="shared" si="3"/>
        <v>2391.5816326530612</v>
      </c>
      <c r="F17" s="1">
        <f t="shared" si="3"/>
        <v>2277.6967930029145</v>
      </c>
      <c r="G17" s="1">
        <f t="shared" si="3"/>
        <v>2605.6241214598076</v>
      </c>
    </row>
    <row r="19" spans="2:12" x14ac:dyDescent="0.25">
      <c r="F19" s="23" t="s">
        <v>18</v>
      </c>
      <c r="G19" s="24">
        <f>SUM(C17:G17)</f>
        <v>1507.0454042586402</v>
      </c>
    </row>
    <row r="21" spans="2:12" ht="15" customHeight="1" x14ac:dyDescent="0.25">
      <c r="B21" s="54" t="s">
        <v>31</v>
      </c>
      <c r="C21" s="54"/>
      <c r="D21" s="54"/>
      <c r="E21" s="54"/>
      <c r="F21" s="54"/>
      <c r="G21" s="54"/>
      <c r="H21" s="54"/>
      <c r="I21" s="54"/>
      <c r="J21" s="54"/>
      <c r="K21" s="54"/>
      <c r="L21" s="54"/>
    </row>
    <row r="22" spans="2:12" x14ac:dyDescent="0.25">
      <c r="B22" s="54"/>
      <c r="C22" s="54"/>
      <c r="D22" s="54"/>
      <c r="E22" s="54"/>
      <c r="F22" s="54"/>
      <c r="G22" s="54"/>
      <c r="H22" s="54"/>
      <c r="I22" s="54"/>
      <c r="J22" s="54"/>
      <c r="K22" s="54"/>
      <c r="L22" s="54"/>
    </row>
    <row r="23" spans="2:12" x14ac:dyDescent="0.25">
      <c r="B23" s="30"/>
      <c r="C23" s="30"/>
      <c r="D23" s="30"/>
      <c r="E23" s="30"/>
      <c r="F23" s="30"/>
      <c r="G23" s="30"/>
      <c r="H23" s="30"/>
      <c r="I23" s="30"/>
      <c r="J23" s="30"/>
      <c r="K23" s="30"/>
      <c r="L23" s="30"/>
    </row>
    <row r="24" spans="2:12" x14ac:dyDescent="0.25">
      <c r="B24" s="55" t="s">
        <v>32</v>
      </c>
      <c r="C24" s="55"/>
      <c r="D24" s="55"/>
      <c r="E24" s="55"/>
      <c r="F24" s="55"/>
      <c r="G24" s="55"/>
      <c r="H24" s="55"/>
      <c r="I24" s="55"/>
      <c r="J24" s="55"/>
      <c r="K24" s="55"/>
      <c r="L24" s="55"/>
    </row>
    <row r="25" spans="2:12" x14ac:dyDescent="0.25">
      <c r="B25" s="31"/>
      <c r="C25" s="31"/>
      <c r="D25" s="31"/>
      <c r="E25" s="31"/>
      <c r="F25" s="31"/>
      <c r="G25" s="31"/>
      <c r="H25" s="31"/>
      <c r="I25" s="31"/>
      <c r="J25" s="31"/>
      <c r="K25" s="31"/>
      <c r="L25" s="31"/>
    </row>
    <row r="26" spans="2:12" x14ac:dyDescent="0.25">
      <c r="B26" s="54" t="s">
        <v>33</v>
      </c>
      <c r="C26" s="54"/>
      <c r="D26" s="54"/>
      <c r="E26" s="54"/>
      <c r="F26" s="54"/>
      <c r="G26" s="54"/>
      <c r="H26" s="54"/>
      <c r="I26" s="54"/>
      <c r="J26" s="54"/>
      <c r="K26" s="54"/>
      <c r="L26" s="54"/>
    </row>
    <row r="27" spans="2:12" x14ac:dyDescent="0.25">
      <c r="B27" s="54"/>
      <c r="C27" s="54"/>
      <c r="D27" s="54"/>
      <c r="E27" s="54"/>
      <c r="F27" s="54"/>
      <c r="G27" s="54"/>
      <c r="H27" s="54"/>
      <c r="I27" s="54"/>
      <c r="J27" s="54"/>
      <c r="K27" s="54"/>
      <c r="L27" s="54"/>
    </row>
    <row r="28" spans="2:12" x14ac:dyDescent="0.25">
      <c r="B28" s="54"/>
      <c r="C28" s="54"/>
      <c r="D28" s="54"/>
      <c r="E28" s="54"/>
      <c r="F28" s="54"/>
      <c r="G28" s="54"/>
      <c r="H28" s="54"/>
      <c r="I28" s="54"/>
      <c r="J28" s="54"/>
      <c r="K28" s="54"/>
      <c r="L28" s="54"/>
    </row>
    <row r="29" spans="2:12" x14ac:dyDescent="0.25">
      <c r="B29" s="54"/>
      <c r="C29" s="54"/>
      <c r="D29" s="54"/>
      <c r="E29" s="54"/>
      <c r="F29" s="54"/>
      <c r="G29" s="54"/>
      <c r="H29" s="54"/>
      <c r="I29" s="54"/>
      <c r="J29" s="54"/>
      <c r="K29" s="54"/>
      <c r="L29" s="54"/>
    </row>
  </sheetData>
  <mergeCells count="8">
    <mergeCell ref="B2:J2"/>
    <mergeCell ref="B21:L22"/>
    <mergeCell ref="B24:L24"/>
    <mergeCell ref="B26:L29"/>
    <mergeCell ref="I11:J11"/>
    <mergeCell ref="I12:J12"/>
    <mergeCell ref="I14:J14"/>
    <mergeCell ref="I15: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1F53-DB37-4F14-9C83-10A73D78D637}">
  <dimension ref="A1:K21"/>
  <sheetViews>
    <sheetView topLeftCell="A4" workbookViewId="0">
      <selection activeCell="C18" sqref="C18"/>
    </sheetView>
  </sheetViews>
  <sheetFormatPr baseColWidth="10" defaultRowHeight="15" x14ac:dyDescent="0.25"/>
  <cols>
    <col min="2" max="2" width="13.42578125" customWidth="1"/>
    <col min="4" max="4" width="11.85546875" bestFit="1" customWidth="1"/>
  </cols>
  <sheetData>
    <row r="1" spans="1:11" x14ac:dyDescent="0.25">
      <c r="A1" s="26" t="s">
        <v>26</v>
      </c>
    </row>
    <row r="2" spans="1:11" x14ac:dyDescent="0.25">
      <c r="B2" s="53" t="s">
        <v>34</v>
      </c>
      <c r="C2" s="53"/>
      <c r="D2" s="53"/>
      <c r="E2" s="53"/>
      <c r="F2" s="53"/>
      <c r="G2" s="53"/>
      <c r="H2" s="53"/>
      <c r="I2" s="53"/>
      <c r="J2" s="53"/>
      <c r="K2" s="53"/>
    </row>
    <row r="4" spans="1:11" x14ac:dyDescent="0.25">
      <c r="B4" s="33" t="s">
        <v>9</v>
      </c>
      <c r="C4" s="13">
        <v>1</v>
      </c>
      <c r="D4" s="13">
        <v>2</v>
      </c>
      <c r="E4" s="13">
        <v>3</v>
      </c>
      <c r="F4" s="13">
        <v>4</v>
      </c>
    </row>
    <row r="5" spans="1:11" x14ac:dyDescent="0.25">
      <c r="B5" s="2" t="s">
        <v>1</v>
      </c>
      <c r="C5" s="1">
        <v>320000</v>
      </c>
      <c r="D5" s="1">
        <v>500000</v>
      </c>
      <c r="E5" s="1">
        <v>600000</v>
      </c>
      <c r="F5" s="1">
        <v>600000</v>
      </c>
    </row>
    <row r="6" spans="1:11" x14ac:dyDescent="0.25">
      <c r="B6" s="2" t="s">
        <v>0</v>
      </c>
      <c r="C6" s="1">
        <v>120000</v>
      </c>
      <c r="D6" s="1">
        <v>300000</v>
      </c>
      <c r="E6" s="1">
        <v>190000</v>
      </c>
      <c r="F6" s="1">
        <v>100000</v>
      </c>
    </row>
    <row r="8" spans="1:11" x14ac:dyDescent="0.25">
      <c r="B8" s="22" t="s">
        <v>8</v>
      </c>
      <c r="C8" s="32">
        <v>6.25E-2</v>
      </c>
      <c r="I8" s="56" t="s">
        <v>21</v>
      </c>
      <c r="J8" s="56"/>
      <c r="K8" s="9" t="s">
        <v>23</v>
      </c>
    </row>
    <row r="9" spans="1:11" x14ac:dyDescent="0.25">
      <c r="I9" s="58" t="s">
        <v>36</v>
      </c>
      <c r="J9" s="58"/>
    </row>
    <row r="10" spans="1:11" x14ac:dyDescent="0.25">
      <c r="B10" s="33" t="s">
        <v>9</v>
      </c>
      <c r="C10" s="13">
        <v>0</v>
      </c>
      <c r="D10" s="13">
        <v>1</v>
      </c>
      <c r="E10" s="13">
        <v>2</v>
      </c>
      <c r="F10" s="13">
        <v>3</v>
      </c>
      <c r="G10" s="13">
        <v>4</v>
      </c>
    </row>
    <row r="11" spans="1:11" x14ac:dyDescent="0.25">
      <c r="B11" s="2" t="s">
        <v>1</v>
      </c>
      <c r="C11" s="1"/>
      <c r="D11" s="1">
        <v>320000</v>
      </c>
      <c r="E11" s="1">
        <v>500000</v>
      </c>
      <c r="F11" s="1">
        <v>600000</v>
      </c>
      <c r="G11" s="1">
        <v>600000</v>
      </c>
      <c r="I11" s="56" t="s">
        <v>37</v>
      </c>
      <c r="J11" s="56"/>
      <c r="K11" s="9" t="s">
        <v>23</v>
      </c>
    </row>
    <row r="12" spans="1:11" x14ac:dyDescent="0.25">
      <c r="B12" s="2" t="s">
        <v>0</v>
      </c>
      <c r="C12" s="1">
        <v>900000</v>
      </c>
      <c r="D12" s="1">
        <v>120000</v>
      </c>
      <c r="E12" s="1">
        <v>300000</v>
      </c>
      <c r="F12" s="1">
        <v>190000</v>
      </c>
      <c r="G12" s="1">
        <v>100000</v>
      </c>
      <c r="I12" s="58" t="s">
        <v>38</v>
      </c>
      <c r="J12" s="58"/>
    </row>
    <row r="13" spans="1:11" x14ac:dyDescent="0.25">
      <c r="B13" s="2" t="s">
        <v>7</v>
      </c>
      <c r="C13" s="1">
        <f>C11-C12</f>
        <v>-900000</v>
      </c>
      <c r="D13" s="1">
        <f t="shared" ref="D13:G13" si="0">D11-D12</f>
        <v>200000</v>
      </c>
      <c r="E13" s="1">
        <f t="shared" si="0"/>
        <v>200000</v>
      </c>
      <c r="F13" s="1">
        <f t="shared" si="0"/>
        <v>410000</v>
      </c>
      <c r="G13" s="1">
        <f t="shared" si="0"/>
        <v>500000</v>
      </c>
    </row>
    <row r="15" spans="1:11" x14ac:dyDescent="0.25">
      <c r="B15" s="33" t="s">
        <v>9</v>
      </c>
      <c r="C15" s="13">
        <v>0</v>
      </c>
      <c r="D15" s="13">
        <v>1</v>
      </c>
      <c r="E15" s="13">
        <v>2</v>
      </c>
      <c r="F15" s="13">
        <v>3</v>
      </c>
      <c r="G15" s="13">
        <v>4</v>
      </c>
    </row>
    <row r="16" spans="1:11" x14ac:dyDescent="0.25">
      <c r="B16" s="2" t="s">
        <v>14</v>
      </c>
      <c r="C16" s="1">
        <f>C11/(1+$C$8)^C15</f>
        <v>0</v>
      </c>
      <c r="D16" s="1">
        <f t="shared" ref="D16:G16" si="1">D11/(1+$C$8)^D15</f>
        <v>301176.4705882353</v>
      </c>
      <c r="E16" s="1">
        <f t="shared" si="1"/>
        <v>442906.57439446368</v>
      </c>
      <c r="F16" s="1">
        <f t="shared" si="1"/>
        <v>500223.89578668837</v>
      </c>
      <c r="G16" s="1">
        <f t="shared" si="1"/>
        <v>470798.96074041259</v>
      </c>
    </row>
    <row r="17" spans="2:7" x14ac:dyDescent="0.25">
      <c r="B17" s="2" t="s">
        <v>13</v>
      </c>
      <c r="C17" s="1">
        <f>C12/(1+$C$8)^C15</f>
        <v>900000</v>
      </c>
      <c r="D17" s="1">
        <f t="shared" ref="D17:G17" si="2">D12/(1+$C$8)^D15</f>
        <v>112941.17647058824</v>
      </c>
      <c r="E17" s="1">
        <f t="shared" si="2"/>
        <v>265743.94463667821</v>
      </c>
      <c r="F17" s="1">
        <f t="shared" si="2"/>
        <v>158404.23366578465</v>
      </c>
      <c r="G17" s="1">
        <f t="shared" si="2"/>
        <v>78466.493456735436</v>
      </c>
    </row>
    <row r="18" spans="2:7" x14ac:dyDescent="0.25">
      <c r="B18" s="2" t="s">
        <v>10</v>
      </c>
      <c r="C18" s="1">
        <f>C16-C17</f>
        <v>-900000</v>
      </c>
      <c r="D18" s="1">
        <f t="shared" ref="D18" si="3">D16-D17</f>
        <v>188235.29411764705</v>
      </c>
      <c r="E18" s="1">
        <f t="shared" ref="E18" si="4">E16-E17</f>
        <v>177162.62975778547</v>
      </c>
      <c r="F18" s="1">
        <f t="shared" ref="F18" si="5">F16-F17</f>
        <v>341819.66212090373</v>
      </c>
      <c r="G18" s="1">
        <f t="shared" ref="G18" si="6">G16-G17</f>
        <v>392332.46728367714</v>
      </c>
    </row>
    <row r="20" spans="2:7" x14ac:dyDescent="0.25">
      <c r="F20" s="25" t="s">
        <v>35</v>
      </c>
      <c r="G20" s="24">
        <f>SUM(C18:G18)</f>
        <v>199550.05328001332</v>
      </c>
    </row>
    <row r="21" spans="2:7" x14ac:dyDescent="0.25">
      <c r="F21" s="22" t="s">
        <v>12</v>
      </c>
      <c r="G21" s="21">
        <f>IRR(C13:G13)</f>
        <v>0.14096505812709936</v>
      </c>
    </row>
  </sheetData>
  <mergeCells count="5">
    <mergeCell ref="B2:K2"/>
    <mergeCell ref="I12:J12"/>
    <mergeCell ref="I11:J11"/>
    <mergeCell ref="I9:J9"/>
    <mergeCell ref="I8:J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F93F-4887-4F48-AA39-0DA86DEF1D19}">
  <dimension ref="A1:Q26"/>
  <sheetViews>
    <sheetView topLeftCell="A4" workbookViewId="0">
      <selection activeCell="B8" sqref="B8:P15"/>
    </sheetView>
  </sheetViews>
  <sheetFormatPr baseColWidth="10" defaultRowHeight="15" x14ac:dyDescent="0.25"/>
  <cols>
    <col min="11" max="11" width="13" customWidth="1"/>
    <col min="12" max="13" width="12.42578125" customWidth="1"/>
    <col min="14" max="15" width="12.85546875" customWidth="1"/>
    <col min="16" max="16" width="12.42578125" customWidth="1"/>
  </cols>
  <sheetData>
    <row r="1" spans="1:17" x14ac:dyDescent="0.25">
      <c r="A1" s="26" t="s">
        <v>42</v>
      </c>
    </row>
    <row r="2" spans="1:17" ht="15" customHeight="1" x14ac:dyDescent="0.25">
      <c r="B2" s="51" t="s">
        <v>43</v>
      </c>
      <c r="C2" s="51"/>
      <c r="D2" s="51"/>
      <c r="E2" s="51"/>
      <c r="F2" s="51"/>
      <c r="G2" s="51"/>
      <c r="H2" s="51"/>
      <c r="I2" s="51"/>
      <c r="J2" s="51"/>
      <c r="K2" s="51"/>
      <c r="L2" s="51"/>
      <c r="M2" s="5"/>
    </row>
    <row r="3" spans="1:17" x14ac:dyDescent="0.25">
      <c r="B3" s="51"/>
      <c r="C3" s="51"/>
      <c r="D3" s="51"/>
      <c r="E3" s="51"/>
      <c r="F3" s="51"/>
      <c r="G3" s="51"/>
      <c r="H3" s="51"/>
      <c r="I3" s="51"/>
      <c r="J3" s="51"/>
      <c r="K3" s="51"/>
      <c r="L3" s="51"/>
      <c r="M3" s="5"/>
    </row>
    <row r="4" spans="1:17" x14ac:dyDescent="0.25">
      <c r="B4" s="51"/>
      <c r="C4" s="51"/>
      <c r="D4" s="51"/>
      <c r="E4" s="51"/>
      <c r="F4" s="51"/>
      <c r="G4" s="51"/>
      <c r="H4" s="51"/>
      <c r="I4" s="51"/>
      <c r="J4" s="51"/>
      <c r="K4" s="51"/>
      <c r="L4" s="51"/>
      <c r="M4" s="5"/>
    </row>
    <row r="6" spans="1:17" x14ac:dyDescent="0.25">
      <c r="C6" s="22" t="s">
        <v>8</v>
      </c>
      <c r="D6" s="22"/>
      <c r="E6" s="37">
        <v>0.1</v>
      </c>
    </row>
    <row r="8" spans="1:17" x14ac:dyDescent="0.25">
      <c r="B8" s="13"/>
      <c r="C8" s="59" t="s">
        <v>39</v>
      </c>
      <c r="D8" s="62"/>
      <c r="E8" s="60"/>
      <c r="F8" s="61" t="s">
        <v>40</v>
      </c>
      <c r="G8" s="61"/>
      <c r="H8" s="61"/>
      <c r="J8" s="13"/>
      <c r="K8" s="59" t="s">
        <v>39</v>
      </c>
      <c r="L8" s="62"/>
      <c r="M8" s="60"/>
      <c r="N8" s="59" t="s">
        <v>40</v>
      </c>
      <c r="O8" s="60"/>
    </row>
    <row r="9" spans="1:17" ht="31.5" customHeight="1" x14ac:dyDescent="0.25">
      <c r="B9" s="4" t="s">
        <v>9</v>
      </c>
      <c r="C9" s="35" t="s">
        <v>0</v>
      </c>
      <c r="D9" s="35" t="s">
        <v>1</v>
      </c>
      <c r="E9" s="35" t="s">
        <v>7</v>
      </c>
      <c r="F9" s="35" t="s">
        <v>41</v>
      </c>
      <c r="G9" s="35" t="s">
        <v>1</v>
      </c>
      <c r="H9" s="35" t="s">
        <v>7</v>
      </c>
      <c r="J9" s="4" t="s">
        <v>9</v>
      </c>
      <c r="K9" s="36" t="s">
        <v>13</v>
      </c>
      <c r="L9" s="36" t="s">
        <v>14</v>
      </c>
      <c r="M9" s="36" t="s">
        <v>10</v>
      </c>
      <c r="N9" s="36" t="s">
        <v>13</v>
      </c>
      <c r="O9" s="36" t="s">
        <v>14</v>
      </c>
      <c r="P9" s="36" t="s">
        <v>10</v>
      </c>
    </row>
    <row r="10" spans="1:17" x14ac:dyDescent="0.25">
      <c r="B10" s="13">
        <v>0</v>
      </c>
      <c r="C10" s="1">
        <v>-48000</v>
      </c>
      <c r="D10" s="1"/>
      <c r="E10" s="1">
        <f>SUM(C10:D10)</f>
        <v>-48000</v>
      </c>
      <c r="F10" s="1">
        <v>-25000</v>
      </c>
      <c r="G10" s="1"/>
      <c r="H10" s="1">
        <f>SUM(F10:G10)</f>
        <v>-25000</v>
      </c>
      <c r="J10" s="13">
        <v>0</v>
      </c>
      <c r="K10" s="38">
        <f>C10/(1+$E$6)^J10</f>
        <v>-48000</v>
      </c>
      <c r="L10" s="7">
        <f t="shared" ref="L10:L15" si="0">D10/(1+$E$6)^J10</f>
        <v>0</v>
      </c>
      <c r="M10" s="7">
        <f>SUM(K10:L10)</f>
        <v>-48000</v>
      </c>
      <c r="N10" s="38">
        <f>F10/(1+$E$6)^J10</f>
        <v>-25000</v>
      </c>
      <c r="O10" s="7">
        <f>G10/(1+$E$6)^J10</f>
        <v>0</v>
      </c>
      <c r="P10" s="7">
        <f>SUM(N10:O10)</f>
        <v>-25000</v>
      </c>
    </row>
    <row r="11" spans="1:17" x14ac:dyDescent="0.25">
      <c r="B11" s="13">
        <v>1</v>
      </c>
      <c r="C11" s="1">
        <v>-48000</v>
      </c>
      <c r="D11" s="1">
        <v>15000</v>
      </c>
      <c r="E11" s="1">
        <f t="shared" ref="E11:E15" si="1">SUM(C11:D11)</f>
        <v>-33000</v>
      </c>
      <c r="F11" s="1">
        <v>-25000</v>
      </c>
      <c r="G11" s="1">
        <v>15000</v>
      </c>
      <c r="H11" s="1">
        <f t="shared" ref="H11:H15" si="2">SUM(F11:G11)</f>
        <v>-10000</v>
      </c>
      <c r="J11" s="13">
        <v>1</v>
      </c>
      <c r="K11" s="38">
        <f t="shared" ref="K11:K15" si="3">C11/(1+$E$6)^J11</f>
        <v>-43636.363636363632</v>
      </c>
      <c r="L11" s="38">
        <f t="shared" si="0"/>
        <v>13636.363636363636</v>
      </c>
      <c r="M11" s="7">
        <f t="shared" ref="M11:M15" si="4">SUM(K11:L11)</f>
        <v>-29999.999999999996</v>
      </c>
      <c r="N11" s="38">
        <f t="shared" ref="N11:N15" si="5">F11/(1+$E$6)^J11</f>
        <v>-22727.272727272724</v>
      </c>
      <c r="O11" s="38">
        <f t="shared" ref="O11:O15" si="6">G11/(1+$E$6)^J11</f>
        <v>13636.363636363636</v>
      </c>
      <c r="P11" s="7">
        <f t="shared" ref="P11:P15" si="7">SUM(N11:O11)</f>
        <v>-9090.9090909090883</v>
      </c>
    </row>
    <row r="12" spans="1:17" x14ac:dyDescent="0.25">
      <c r="B12" s="13">
        <v>2</v>
      </c>
      <c r="C12" s="1"/>
      <c r="D12" s="1">
        <v>20000</v>
      </c>
      <c r="E12" s="1">
        <f t="shared" si="1"/>
        <v>20000</v>
      </c>
      <c r="F12" s="1"/>
      <c r="G12" s="1">
        <v>15000</v>
      </c>
      <c r="H12" s="1">
        <f t="shared" si="2"/>
        <v>15000</v>
      </c>
      <c r="J12" s="13">
        <v>2</v>
      </c>
      <c r="K12" s="7">
        <f t="shared" si="3"/>
        <v>0</v>
      </c>
      <c r="L12" s="38">
        <f t="shared" si="0"/>
        <v>16528.925619834707</v>
      </c>
      <c r="M12" s="7">
        <f t="shared" si="4"/>
        <v>16528.925619834707</v>
      </c>
      <c r="N12" s="7">
        <f t="shared" si="5"/>
        <v>0</v>
      </c>
      <c r="O12" s="38">
        <f t="shared" si="6"/>
        <v>12396.694214876032</v>
      </c>
      <c r="P12" s="7">
        <f t="shared" si="7"/>
        <v>12396.694214876032</v>
      </c>
    </row>
    <row r="13" spans="1:17" x14ac:dyDescent="0.25">
      <c r="B13" s="13">
        <v>3</v>
      </c>
      <c r="C13" s="1"/>
      <c r="D13" s="1">
        <v>25000</v>
      </c>
      <c r="E13" s="1">
        <f t="shared" si="1"/>
        <v>25000</v>
      </c>
      <c r="F13" s="1"/>
      <c r="G13" s="1">
        <v>15000</v>
      </c>
      <c r="H13" s="1">
        <f t="shared" si="2"/>
        <v>15000</v>
      </c>
      <c r="J13" s="13">
        <v>3</v>
      </c>
      <c r="K13" s="7">
        <f t="shared" si="3"/>
        <v>0</v>
      </c>
      <c r="L13" s="38">
        <f t="shared" si="0"/>
        <v>18782.870022539439</v>
      </c>
      <c r="M13" s="7">
        <f t="shared" si="4"/>
        <v>18782.870022539439</v>
      </c>
      <c r="N13" s="7">
        <f t="shared" si="5"/>
        <v>0</v>
      </c>
      <c r="O13" s="38">
        <f t="shared" si="6"/>
        <v>11269.722013523662</v>
      </c>
      <c r="P13" s="7">
        <f t="shared" si="7"/>
        <v>11269.722013523662</v>
      </c>
    </row>
    <row r="14" spans="1:17" x14ac:dyDescent="0.25">
      <c r="B14" s="13">
        <v>4</v>
      </c>
      <c r="C14" s="1"/>
      <c r="D14" s="1">
        <v>20000</v>
      </c>
      <c r="E14" s="1">
        <f t="shared" si="1"/>
        <v>20000</v>
      </c>
      <c r="F14" s="1"/>
      <c r="G14" s="1">
        <v>15000</v>
      </c>
      <c r="H14" s="1">
        <f t="shared" si="2"/>
        <v>15000</v>
      </c>
      <c r="J14" s="13">
        <v>4</v>
      </c>
      <c r="K14" s="7">
        <f t="shared" si="3"/>
        <v>0</v>
      </c>
      <c r="L14" s="38">
        <f t="shared" si="0"/>
        <v>13660.26910730141</v>
      </c>
      <c r="M14" s="7">
        <f t="shared" si="4"/>
        <v>13660.26910730141</v>
      </c>
      <c r="N14" s="7">
        <f t="shared" si="5"/>
        <v>0</v>
      </c>
      <c r="O14" s="38">
        <f t="shared" si="6"/>
        <v>10245.201830476057</v>
      </c>
      <c r="P14" s="7">
        <f t="shared" si="7"/>
        <v>10245.201830476057</v>
      </c>
    </row>
    <row r="15" spans="1:17" x14ac:dyDescent="0.25">
      <c r="B15" s="13">
        <v>5</v>
      </c>
      <c r="C15" s="1"/>
      <c r="D15" s="1">
        <v>10000</v>
      </c>
      <c r="E15" s="1">
        <f t="shared" si="1"/>
        <v>10000</v>
      </c>
      <c r="F15" s="1"/>
      <c r="G15" s="1">
        <v>15000</v>
      </c>
      <c r="H15" s="1">
        <f t="shared" si="2"/>
        <v>15000</v>
      </c>
      <c r="J15" s="13">
        <v>5</v>
      </c>
      <c r="K15" s="7">
        <f t="shared" si="3"/>
        <v>0</v>
      </c>
      <c r="L15" s="38">
        <f t="shared" si="0"/>
        <v>6209.2132305915493</v>
      </c>
      <c r="M15" s="7">
        <f t="shared" si="4"/>
        <v>6209.2132305915493</v>
      </c>
      <c r="N15" s="7">
        <f t="shared" si="5"/>
        <v>0</v>
      </c>
      <c r="O15" s="38">
        <f t="shared" si="6"/>
        <v>9313.8198458873248</v>
      </c>
      <c r="P15" s="7">
        <f t="shared" si="7"/>
        <v>9313.8198458873248</v>
      </c>
      <c r="Q15" t="s">
        <v>46</v>
      </c>
    </row>
    <row r="16" spans="1:17" x14ac:dyDescent="0.25">
      <c r="K16" s="40" t="s">
        <v>44</v>
      </c>
      <c r="L16" s="40" t="s">
        <v>45</v>
      </c>
      <c r="M16" s="40"/>
      <c r="N16" s="40" t="s">
        <v>44</v>
      </c>
      <c r="O16" s="40" t="s">
        <v>45</v>
      </c>
      <c r="Q16" t="s">
        <v>47</v>
      </c>
    </row>
    <row r="17" spans="2:15" x14ac:dyDescent="0.25">
      <c r="K17" s="39">
        <f>SUM(K10:K15)</f>
        <v>-91636.363636363632</v>
      </c>
      <c r="L17" s="39">
        <f>SUM(L10:L15)</f>
        <v>68817.641616630732</v>
      </c>
      <c r="M17" s="39"/>
      <c r="N17" s="39">
        <f t="shared" ref="N17:O17" si="8">SUM(N10:N15)</f>
        <v>-47727.272727272721</v>
      </c>
      <c r="O17" s="39">
        <f t="shared" si="8"/>
        <v>56861.801541126712</v>
      </c>
    </row>
    <row r="19" spans="2:15" ht="15" customHeight="1" x14ac:dyDescent="0.25">
      <c r="B19" s="52" t="s">
        <v>55</v>
      </c>
      <c r="C19" s="52"/>
      <c r="D19" s="52"/>
      <c r="E19" s="52"/>
      <c r="F19" s="52"/>
      <c r="G19" s="52"/>
      <c r="H19" s="52"/>
      <c r="I19" s="52"/>
      <c r="J19" s="45" t="s">
        <v>56</v>
      </c>
      <c r="K19" s="22" t="s">
        <v>48</v>
      </c>
      <c r="L19" s="34">
        <f>ABS(L17/K17)</f>
        <v>0.7509861684354544</v>
      </c>
      <c r="M19" s="34"/>
      <c r="N19" s="22" t="s">
        <v>48</v>
      </c>
      <c r="O19" s="34">
        <f t="shared" ref="O19" si="9">ABS(O17/N17)</f>
        <v>1.1913901275283694</v>
      </c>
    </row>
    <row r="20" spans="2:15" x14ac:dyDescent="0.25">
      <c r="B20" s="52"/>
      <c r="C20" s="52"/>
      <c r="D20" s="52"/>
      <c r="E20" s="52"/>
      <c r="F20" s="52"/>
      <c r="G20" s="52"/>
      <c r="H20" s="52"/>
      <c r="I20" s="52"/>
      <c r="K20" s="22" t="s">
        <v>17</v>
      </c>
      <c r="L20" s="24">
        <f>SUM(M10:M15)</f>
        <v>-22818.722019732901</v>
      </c>
      <c r="N20" s="22" t="s">
        <v>17</v>
      </c>
      <c r="O20" s="24">
        <f>SUM(P10:P15)</f>
        <v>9134.5288138539872</v>
      </c>
    </row>
    <row r="21" spans="2:15" x14ac:dyDescent="0.25">
      <c r="B21" s="52"/>
      <c r="C21" s="52"/>
      <c r="D21" s="52"/>
      <c r="E21" s="52"/>
      <c r="F21" s="52"/>
      <c r="G21" s="52"/>
      <c r="H21" s="52"/>
      <c r="I21" s="52"/>
      <c r="K21" s="22" t="s">
        <v>52</v>
      </c>
      <c r="L21" s="43">
        <f>IRR(E10:E15)</f>
        <v>-2.6464834570319784E-2</v>
      </c>
      <c r="N21" s="22" t="s">
        <v>52</v>
      </c>
      <c r="O21" s="43">
        <f>IRR(H10:H15)</f>
        <v>0.18830787501661006</v>
      </c>
    </row>
    <row r="22" spans="2:15" x14ac:dyDescent="0.25">
      <c r="C22" s="28"/>
      <c r="D22" s="28"/>
      <c r="E22" s="28"/>
      <c r="F22" s="28"/>
      <c r="G22" s="28"/>
      <c r="H22" s="28"/>
      <c r="N22" s="42"/>
    </row>
    <row r="23" spans="2:15" x14ac:dyDescent="0.25">
      <c r="B23" s="52" t="s">
        <v>57</v>
      </c>
      <c r="C23" s="52"/>
      <c r="D23" s="52"/>
      <c r="E23" s="52"/>
      <c r="F23" s="52"/>
      <c r="G23" s="52"/>
      <c r="H23" s="52"/>
      <c r="J23" s="56" t="s">
        <v>39</v>
      </c>
      <c r="K23" s="56"/>
      <c r="L23" s="3"/>
      <c r="M23" s="3"/>
      <c r="N23" s="63" t="s">
        <v>40</v>
      </c>
      <c r="O23" s="64"/>
    </row>
    <row r="24" spans="2:15" x14ac:dyDescent="0.25">
      <c r="B24" s="52"/>
      <c r="C24" s="52"/>
      <c r="D24" s="52"/>
      <c r="E24" s="52"/>
      <c r="F24" s="52"/>
      <c r="G24" s="52"/>
      <c r="H24" s="52"/>
      <c r="J24" s="9" t="s">
        <v>49</v>
      </c>
      <c r="K24" s="9" t="s">
        <v>50</v>
      </c>
      <c r="L24" s="3"/>
      <c r="M24" s="3"/>
      <c r="N24" s="44" t="s">
        <v>51</v>
      </c>
      <c r="O24" s="44" t="s">
        <v>23</v>
      </c>
    </row>
    <row r="25" spans="2:15" x14ac:dyDescent="0.25">
      <c r="B25" s="52"/>
      <c r="C25" s="52"/>
      <c r="D25" s="52"/>
      <c r="E25" s="52"/>
      <c r="F25" s="52"/>
      <c r="G25" s="52"/>
      <c r="H25" s="52"/>
      <c r="J25" s="9" t="s">
        <v>53</v>
      </c>
      <c r="K25" s="9" t="s">
        <v>50</v>
      </c>
      <c r="N25" s="44" t="s">
        <v>21</v>
      </c>
      <c r="O25" s="44" t="s">
        <v>23</v>
      </c>
    </row>
    <row r="26" spans="2:15" x14ac:dyDescent="0.25">
      <c r="J26" s="9" t="s">
        <v>54</v>
      </c>
      <c r="K26" s="9" t="s">
        <v>50</v>
      </c>
      <c r="N26" s="44" t="s">
        <v>37</v>
      </c>
      <c r="O26" s="44" t="s">
        <v>23</v>
      </c>
    </row>
  </sheetData>
  <mergeCells count="9">
    <mergeCell ref="B2:L4"/>
    <mergeCell ref="B23:H25"/>
    <mergeCell ref="N8:O8"/>
    <mergeCell ref="J23:K23"/>
    <mergeCell ref="F8:H8"/>
    <mergeCell ref="K8:M8"/>
    <mergeCell ref="N23:O23"/>
    <mergeCell ref="B19:I21"/>
    <mergeCell ref="C8:E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2BD6-7F86-4C11-BA4C-A03E6B871ED9}">
  <dimension ref="B2:T16"/>
  <sheetViews>
    <sheetView topLeftCell="E1" workbookViewId="0">
      <selection activeCell="N7" sqref="N7"/>
    </sheetView>
  </sheetViews>
  <sheetFormatPr baseColWidth="10" defaultRowHeight="15" x14ac:dyDescent="0.25"/>
  <cols>
    <col min="11" max="11" width="12.85546875" customWidth="1"/>
    <col min="12" max="12" width="12.7109375" customWidth="1"/>
    <col min="13" max="16" width="12.42578125" customWidth="1"/>
    <col min="17" max="17" width="12.7109375" customWidth="1"/>
    <col min="18" max="18" width="12.85546875" customWidth="1"/>
    <col min="19" max="19" width="12.5703125" customWidth="1"/>
  </cols>
  <sheetData>
    <row r="2" spans="2:20" x14ac:dyDescent="0.25">
      <c r="C2" s="22" t="s">
        <v>8</v>
      </c>
      <c r="D2" s="22"/>
      <c r="E2" s="37">
        <v>0.1</v>
      </c>
    </row>
    <row r="4" spans="2:20" x14ac:dyDescent="0.25">
      <c r="B4" s="13"/>
      <c r="C4" s="59" t="s">
        <v>39</v>
      </c>
      <c r="D4" s="62"/>
      <c r="E4" s="60"/>
      <c r="F4" s="61" t="s">
        <v>40</v>
      </c>
      <c r="G4" s="61"/>
      <c r="H4" s="61"/>
      <c r="J4" s="13"/>
      <c r="K4" s="59" t="s">
        <v>39</v>
      </c>
      <c r="L4" s="62"/>
      <c r="M4" s="60"/>
      <c r="N4" s="8"/>
      <c r="O4" s="41"/>
      <c r="P4" s="13"/>
      <c r="Q4" s="62" t="s">
        <v>40</v>
      </c>
      <c r="R4" s="62"/>
      <c r="S4" s="62"/>
      <c r="T4" s="60"/>
    </row>
    <row r="5" spans="2:20" ht="29.25" customHeight="1" x14ac:dyDescent="0.25">
      <c r="B5" s="4" t="s">
        <v>9</v>
      </c>
      <c r="C5" s="35" t="s">
        <v>0</v>
      </c>
      <c r="D5" s="35" t="s">
        <v>1</v>
      </c>
      <c r="E5" s="35" t="s">
        <v>7</v>
      </c>
      <c r="F5" s="35" t="s">
        <v>41</v>
      </c>
      <c r="G5" s="35" t="s">
        <v>1</v>
      </c>
      <c r="H5" s="35" t="s">
        <v>7</v>
      </c>
      <c r="J5" s="4" t="s">
        <v>9</v>
      </c>
      <c r="K5" s="36" t="s">
        <v>13</v>
      </c>
      <c r="L5" s="36" t="s">
        <v>14</v>
      </c>
      <c r="M5" s="36" t="s">
        <v>10</v>
      </c>
      <c r="N5" s="46" t="s">
        <v>59</v>
      </c>
      <c r="O5" s="49"/>
      <c r="P5" s="4" t="s">
        <v>9</v>
      </c>
      <c r="Q5" s="47" t="s">
        <v>13</v>
      </c>
      <c r="R5" s="36" t="s">
        <v>14</v>
      </c>
      <c r="S5" s="36" t="s">
        <v>10</v>
      </c>
      <c r="T5" s="36" t="s">
        <v>59</v>
      </c>
    </row>
    <row r="6" spans="2:20" x14ac:dyDescent="0.25">
      <c r="B6" s="13">
        <v>0</v>
      </c>
      <c r="C6" s="1">
        <v>-48000</v>
      </c>
      <c r="D6" s="1"/>
      <c r="E6" s="1">
        <f>SUM(C6:D6)</f>
        <v>-48000</v>
      </c>
      <c r="F6" s="1">
        <v>-25000</v>
      </c>
      <c r="G6" s="1"/>
      <c r="H6" s="1">
        <f>SUM(F6:G6)</f>
        <v>-25000</v>
      </c>
      <c r="J6" s="13">
        <v>0</v>
      </c>
      <c r="K6" s="38">
        <f>C6/(1+$E$2)^J6</f>
        <v>-48000</v>
      </c>
      <c r="L6" s="38">
        <f>D6/(1+$E$2)^J6</f>
        <v>0</v>
      </c>
      <c r="M6" s="7">
        <f>SUM(K6:L6)</f>
        <v>-48000</v>
      </c>
      <c r="N6" s="11">
        <f>K6</f>
        <v>-48000</v>
      </c>
      <c r="O6" s="12"/>
      <c r="P6" s="13">
        <v>0</v>
      </c>
      <c r="Q6" s="48">
        <f>F6/(1+$E$2)^P6</f>
        <v>-25000</v>
      </c>
      <c r="R6" s="38">
        <f>G6/(1+$E$2)^P6</f>
        <v>0</v>
      </c>
      <c r="S6" s="7">
        <f>SUM(Q6:R6)</f>
        <v>-25000</v>
      </c>
      <c r="T6" s="38">
        <f>Q6</f>
        <v>-25000</v>
      </c>
    </row>
    <row r="7" spans="2:20" x14ac:dyDescent="0.25">
      <c r="B7" s="13">
        <v>1</v>
      </c>
      <c r="C7" s="1">
        <v>-48000</v>
      </c>
      <c r="D7" s="1">
        <v>15000</v>
      </c>
      <c r="E7" s="1">
        <f t="shared" ref="E7:E11" si="0">SUM(C7:D7)</f>
        <v>-33000</v>
      </c>
      <c r="F7" s="1">
        <v>-25000</v>
      </c>
      <c r="G7" s="1">
        <v>15000</v>
      </c>
      <c r="H7" s="1">
        <f t="shared" ref="H7:H11" si="1">SUM(F7:G7)</f>
        <v>-10000</v>
      </c>
      <c r="J7" s="13">
        <v>1</v>
      </c>
      <c r="K7" s="38">
        <f>C7/(1+$E$2)^J7</f>
        <v>-43636.363636363632</v>
      </c>
      <c r="L7" s="38">
        <f t="shared" ref="L7:L10" si="2">D7/(1+$E$2)^J7</f>
        <v>13636.363636363636</v>
      </c>
      <c r="M7" s="7">
        <f t="shared" ref="M7:M11" si="3">SUM(K7:L7)</f>
        <v>-29999.999999999996</v>
      </c>
      <c r="N7" s="11">
        <f>N6+L7</f>
        <v>-34363.636363636368</v>
      </c>
      <c r="O7" s="12"/>
      <c r="P7" s="13">
        <v>1</v>
      </c>
      <c r="Q7" s="48">
        <f t="shared" ref="Q7:Q11" si="4">F7/(1+$E$2)^P7</f>
        <v>-22727.272727272724</v>
      </c>
      <c r="R7" s="38">
        <f t="shared" ref="R7:R11" si="5">G7/(1+$E$2)^P7</f>
        <v>13636.363636363636</v>
      </c>
      <c r="S7" s="7">
        <f t="shared" ref="S7:S11" si="6">SUM(Q7:R7)</f>
        <v>-9090.9090909090883</v>
      </c>
      <c r="T7" s="7">
        <f>T6+R7</f>
        <v>-11363.636363636364</v>
      </c>
    </row>
    <row r="8" spans="2:20" x14ac:dyDescent="0.25">
      <c r="B8" s="13">
        <v>2</v>
      </c>
      <c r="C8" s="1"/>
      <c r="D8" s="1">
        <v>20000</v>
      </c>
      <c r="E8" s="1">
        <f t="shared" si="0"/>
        <v>20000</v>
      </c>
      <c r="F8" s="1"/>
      <c r="G8" s="1">
        <v>15000</v>
      </c>
      <c r="H8" s="1">
        <f t="shared" si="1"/>
        <v>15000</v>
      </c>
      <c r="J8" s="13">
        <v>2</v>
      </c>
      <c r="K8" s="38">
        <f t="shared" ref="K8:K11" si="7">C8/(1+$E$2)^J8</f>
        <v>0</v>
      </c>
      <c r="L8" s="38">
        <f t="shared" si="2"/>
        <v>16528.925619834707</v>
      </c>
      <c r="M8" s="7">
        <f t="shared" si="3"/>
        <v>16528.925619834707</v>
      </c>
      <c r="N8" s="11">
        <f t="shared" ref="N8:N11" si="8">N7+L8</f>
        <v>-17834.710743801661</v>
      </c>
      <c r="O8" s="12"/>
      <c r="P8" s="13">
        <v>2</v>
      </c>
      <c r="Q8" s="48">
        <f t="shared" si="4"/>
        <v>0</v>
      </c>
      <c r="R8" s="38">
        <f t="shared" si="5"/>
        <v>12396.694214876032</v>
      </c>
      <c r="S8" s="7">
        <f t="shared" si="6"/>
        <v>12396.694214876032</v>
      </c>
      <c r="T8" s="7">
        <f t="shared" ref="T8:T11" si="9">T7+R8</f>
        <v>1033.0578512396678</v>
      </c>
    </row>
    <row r="9" spans="2:20" x14ac:dyDescent="0.25">
      <c r="B9" s="13">
        <v>3</v>
      </c>
      <c r="C9" s="1"/>
      <c r="D9" s="1">
        <v>25000</v>
      </c>
      <c r="E9" s="1">
        <f t="shared" si="0"/>
        <v>25000</v>
      </c>
      <c r="F9" s="1"/>
      <c r="G9" s="1">
        <v>15000</v>
      </c>
      <c r="H9" s="1">
        <f t="shared" si="1"/>
        <v>15000</v>
      </c>
      <c r="J9" s="13">
        <v>3</v>
      </c>
      <c r="K9" s="38">
        <f t="shared" si="7"/>
        <v>0</v>
      </c>
      <c r="L9" s="38">
        <f t="shared" si="2"/>
        <v>18782.870022539439</v>
      </c>
      <c r="M9" s="7">
        <f t="shared" si="3"/>
        <v>18782.870022539439</v>
      </c>
      <c r="N9" s="11">
        <f t="shared" si="8"/>
        <v>948.15927873777764</v>
      </c>
      <c r="O9" s="12"/>
      <c r="P9" s="13">
        <v>3</v>
      </c>
      <c r="Q9" s="48">
        <f t="shared" si="4"/>
        <v>0</v>
      </c>
      <c r="R9" s="38">
        <f t="shared" si="5"/>
        <v>11269.722013523662</v>
      </c>
      <c r="S9" s="7">
        <f t="shared" si="6"/>
        <v>11269.722013523662</v>
      </c>
      <c r="T9" s="7">
        <f t="shared" si="9"/>
        <v>12302.77986476333</v>
      </c>
    </row>
    <row r="10" spans="2:20" x14ac:dyDescent="0.25">
      <c r="B10" s="13">
        <v>4</v>
      </c>
      <c r="C10" s="1"/>
      <c r="D10" s="1">
        <v>20000</v>
      </c>
      <c r="E10" s="1">
        <f t="shared" si="0"/>
        <v>20000</v>
      </c>
      <c r="F10" s="1"/>
      <c r="G10" s="1">
        <v>15000</v>
      </c>
      <c r="H10" s="1">
        <f t="shared" si="1"/>
        <v>15000</v>
      </c>
      <c r="J10" s="13">
        <v>4</v>
      </c>
      <c r="K10" s="38">
        <f t="shared" si="7"/>
        <v>0</v>
      </c>
      <c r="L10" s="38">
        <f t="shared" si="2"/>
        <v>13660.26910730141</v>
      </c>
      <c r="M10" s="7">
        <f t="shared" si="3"/>
        <v>13660.26910730141</v>
      </c>
      <c r="N10" s="11">
        <f t="shared" si="8"/>
        <v>14608.428386039188</v>
      </c>
      <c r="O10" s="12"/>
      <c r="P10" s="13">
        <v>4</v>
      </c>
      <c r="Q10" s="48">
        <f t="shared" si="4"/>
        <v>0</v>
      </c>
      <c r="R10" s="38">
        <f t="shared" si="5"/>
        <v>10245.201830476057</v>
      </c>
      <c r="S10" s="7">
        <f t="shared" si="6"/>
        <v>10245.201830476057</v>
      </c>
      <c r="T10" s="7">
        <f t="shared" si="9"/>
        <v>22547.981695239389</v>
      </c>
    </row>
    <row r="11" spans="2:20" x14ac:dyDescent="0.25">
      <c r="B11" s="13">
        <v>5</v>
      </c>
      <c r="C11" s="1"/>
      <c r="D11" s="1">
        <v>10000</v>
      </c>
      <c r="E11" s="1">
        <f t="shared" si="0"/>
        <v>10000</v>
      </c>
      <c r="F11" s="1"/>
      <c r="G11" s="1">
        <v>15000</v>
      </c>
      <c r="H11" s="1">
        <f t="shared" si="1"/>
        <v>15000</v>
      </c>
      <c r="J11" s="13">
        <v>5</v>
      </c>
      <c r="K11" s="38">
        <f t="shared" si="7"/>
        <v>0</v>
      </c>
      <c r="L11" s="38">
        <f>D11/(1+$E$2)^J11</f>
        <v>6209.2132305915493</v>
      </c>
      <c r="M11" s="7">
        <f t="shared" si="3"/>
        <v>6209.2132305915493</v>
      </c>
      <c r="N11" s="11">
        <f t="shared" si="8"/>
        <v>20817.641616630739</v>
      </c>
      <c r="O11" s="12"/>
      <c r="P11" s="13">
        <v>5</v>
      </c>
      <c r="Q11" s="48">
        <f t="shared" si="4"/>
        <v>0</v>
      </c>
      <c r="R11" s="38">
        <f t="shared" si="5"/>
        <v>9313.8198458873248</v>
      </c>
      <c r="S11" s="7">
        <f t="shared" si="6"/>
        <v>9313.8198458873248</v>
      </c>
      <c r="T11" s="7">
        <f t="shared" si="9"/>
        <v>31861.801541126712</v>
      </c>
    </row>
    <row r="13" spans="2:20" ht="15" customHeight="1" x14ac:dyDescent="0.25">
      <c r="B13" s="52" t="s">
        <v>58</v>
      </c>
      <c r="C13" s="52"/>
      <c r="D13" s="52"/>
      <c r="E13" s="52"/>
      <c r="F13" s="52"/>
      <c r="G13" s="52"/>
      <c r="H13" s="52"/>
      <c r="I13" s="52"/>
      <c r="M13" s="52" t="s">
        <v>60</v>
      </c>
      <c r="N13" s="52"/>
      <c r="O13" s="28"/>
      <c r="S13" s="52" t="s">
        <v>61</v>
      </c>
      <c r="T13" s="52"/>
    </row>
    <row r="14" spans="2:20" x14ac:dyDescent="0.25">
      <c r="B14" s="52"/>
      <c r="C14" s="52"/>
      <c r="D14" s="52"/>
      <c r="E14" s="52"/>
      <c r="F14" s="52"/>
      <c r="G14" s="52"/>
      <c r="H14" s="52"/>
      <c r="I14" s="52"/>
      <c r="M14" s="52"/>
      <c r="N14" s="52"/>
      <c r="O14" s="28"/>
      <c r="S14" s="52"/>
      <c r="T14" s="52"/>
    </row>
    <row r="15" spans="2:20" x14ac:dyDescent="0.25">
      <c r="B15" s="28"/>
      <c r="C15" s="28"/>
      <c r="D15" s="28"/>
      <c r="E15" s="28"/>
      <c r="F15" s="28"/>
      <c r="G15" s="28"/>
      <c r="H15" s="28"/>
      <c r="I15" s="28"/>
      <c r="M15" s="52"/>
      <c r="N15" s="52"/>
      <c r="O15" s="28"/>
      <c r="S15" s="52"/>
      <c r="T15" s="52"/>
    </row>
    <row r="16" spans="2:20" x14ac:dyDescent="0.25">
      <c r="N16" s="28"/>
      <c r="O16" s="28"/>
    </row>
  </sheetData>
  <mergeCells count="7">
    <mergeCell ref="M13:N15"/>
    <mergeCell ref="S13:T15"/>
    <mergeCell ref="C4:E4"/>
    <mergeCell ref="F4:H4"/>
    <mergeCell ref="B13:I14"/>
    <mergeCell ref="K4:M4"/>
    <mergeCell ref="Q4:T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BDD4-0A24-4D43-BCEF-B03477274D75}">
  <dimension ref="A1:M51"/>
  <sheetViews>
    <sheetView topLeftCell="A3" zoomScale="90" zoomScaleNormal="90" workbookViewId="0">
      <selection activeCell="B5" sqref="B5:D11"/>
    </sheetView>
  </sheetViews>
  <sheetFormatPr baseColWidth="10" defaultRowHeight="15" x14ac:dyDescent="0.25"/>
  <cols>
    <col min="3" max="3" width="18.7109375" customWidth="1"/>
    <col min="4" max="4" width="12.5703125" bestFit="1" customWidth="1"/>
    <col min="5" max="5" width="17.140625" customWidth="1"/>
    <col min="6" max="6" width="16.28515625" customWidth="1"/>
    <col min="7" max="7" width="17.5703125" customWidth="1"/>
  </cols>
  <sheetData>
    <row r="1" spans="1:13" x14ac:dyDescent="0.25">
      <c r="A1" s="67" t="s">
        <v>62</v>
      </c>
    </row>
    <row r="2" spans="1:13" x14ac:dyDescent="0.25">
      <c r="B2" s="66" t="s">
        <v>63</v>
      </c>
      <c r="C2" s="66"/>
      <c r="D2" s="66"/>
      <c r="E2" s="66"/>
      <c r="F2" s="66"/>
      <c r="G2" s="66"/>
      <c r="H2" s="66"/>
      <c r="I2" s="66"/>
      <c r="J2" s="66"/>
      <c r="K2" s="66"/>
      <c r="L2" s="66"/>
      <c r="M2" s="66"/>
    </row>
    <row r="3" spans="1:13" x14ac:dyDescent="0.25">
      <c r="B3" s="66"/>
      <c r="C3" s="66"/>
      <c r="D3" s="66"/>
      <c r="E3" s="66"/>
      <c r="F3" s="66"/>
      <c r="G3" s="66"/>
      <c r="H3" s="66"/>
      <c r="I3" s="66"/>
      <c r="J3" s="66"/>
      <c r="K3" s="66"/>
      <c r="L3" s="66"/>
      <c r="M3" s="66"/>
    </row>
    <row r="5" spans="1:13" x14ac:dyDescent="0.25">
      <c r="B5" s="68" t="s">
        <v>64</v>
      </c>
      <c r="C5" s="80">
        <v>10000</v>
      </c>
    </row>
    <row r="6" spans="1:13" x14ac:dyDescent="0.25">
      <c r="B6" s="68" t="s">
        <v>65</v>
      </c>
      <c r="C6" s="80">
        <v>5</v>
      </c>
      <c r="D6" s="1" t="s">
        <v>66</v>
      </c>
    </row>
    <row r="7" spans="1:13" x14ac:dyDescent="0.25">
      <c r="B7" s="68" t="s">
        <v>67</v>
      </c>
      <c r="C7" s="81">
        <v>0.02</v>
      </c>
    </row>
    <row r="8" spans="1:13" x14ac:dyDescent="0.25">
      <c r="B8" s="68" t="s">
        <v>68</v>
      </c>
      <c r="C8" s="80" t="s">
        <v>69</v>
      </c>
    </row>
    <row r="10" spans="1:13" ht="15" customHeight="1" x14ac:dyDescent="0.25">
      <c r="B10" s="78" t="s">
        <v>70</v>
      </c>
      <c r="C10" s="68" t="s">
        <v>71</v>
      </c>
      <c r="D10" s="1">
        <f>C5*((C7*(1+C7)^C6)/((1+C7)^5-1))</f>
        <v>2121.5839410432218</v>
      </c>
    </row>
    <row r="11" spans="1:13" ht="15" customHeight="1" x14ac:dyDescent="0.25">
      <c r="B11" s="79"/>
    </row>
    <row r="12" spans="1:13" x14ac:dyDescent="0.25">
      <c r="B12" s="69"/>
    </row>
    <row r="13" spans="1:13" ht="15" customHeight="1" x14ac:dyDescent="0.25">
      <c r="B13" s="70" t="s">
        <v>72</v>
      </c>
      <c r="C13" s="71"/>
      <c r="D13" s="72">
        <v>0.02</v>
      </c>
      <c r="E13" s="73"/>
      <c r="F13" s="74"/>
      <c r="G13" s="74"/>
    </row>
    <row r="14" spans="1:13" ht="35.25" customHeight="1" x14ac:dyDescent="0.25">
      <c r="B14" s="75" t="s">
        <v>73</v>
      </c>
      <c r="C14" s="75" t="s">
        <v>74</v>
      </c>
      <c r="D14" s="75" t="s">
        <v>75</v>
      </c>
      <c r="E14" s="76" t="s">
        <v>76</v>
      </c>
      <c r="F14" s="76" t="s">
        <v>77</v>
      </c>
      <c r="G14" s="76" t="s">
        <v>78</v>
      </c>
    </row>
    <row r="15" spans="1:13" x14ac:dyDescent="0.25">
      <c r="B15" s="77">
        <v>1</v>
      </c>
      <c r="C15" s="82">
        <v>10000</v>
      </c>
      <c r="D15" s="82">
        <f>$D$10</f>
        <v>2121.5839410432218</v>
      </c>
      <c r="E15" s="82">
        <f>C15*$D$13</f>
        <v>200</v>
      </c>
      <c r="F15" s="82">
        <f>D15-E15</f>
        <v>1921.5839410432218</v>
      </c>
      <c r="G15" s="82">
        <f>F15</f>
        <v>1921.5839410432218</v>
      </c>
    </row>
    <row r="16" spans="1:13" x14ac:dyDescent="0.25">
      <c r="B16" s="77">
        <v>2</v>
      </c>
      <c r="C16" s="82">
        <f>$C$15-G15</f>
        <v>8078.4160589567782</v>
      </c>
      <c r="D16" s="82">
        <f t="shared" ref="D16:D19" si="0">$D$10</f>
        <v>2121.5839410432218</v>
      </c>
      <c r="E16" s="82">
        <f t="shared" ref="E16:E19" si="1">C16*$D$13</f>
        <v>161.56832117913558</v>
      </c>
      <c r="F16" s="82">
        <f t="shared" ref="F16:F18" si="2">D16-E16</f>
        <v>1960.0156198640861</v>
      </c>
      <c r="G16" s="82">
        <f>F16+G15</f>
        <v>3881.5995609073079</v>
      </c>
    </row>
    <row r="17" spans="1:12" x14ac:dyDescent="0.25">
      <c r="B17" s="77">
        <v>3</v>
      </c>
      <c r="C17" s="82">
        <f t="shared" ref="C17:C19" si="3">$C$15-G16</f>
        <v>6118.4004390926921</v>
      </c>
      <c r="D17" s="82">
        <f t="shared" si="0"/>
        <v>2121.5839410432218</v>
      </c>
      <c r="E17" s="82">
        <f t="shared" si="1"/>
        <v>122.36800878185385</v>
      </c>
      <c r="F17" s="82">
        <f t="shared" si="2"/>
        <v>1999.2159322613679</v>
      </c>
      <c r="G17" s="82">
        <f t="shared" ref="G17:G19" si="4">F17+G16</f>
        <v>5880.8154931686759</v>
      </c>
    </row>
    <row r="18" spans="1:12" x14ac:dyDescent="0.25">
      <c r="B18" s="77">
        <v>4</v>
      </c>
      <c r="C18" s="82">
        <f>$C$15-G17</f>
        <v>4119.1845068313241</v>
      </c>
      <c r="D18" s="82">
        <f t="shared" si="0"/>
        <v>2121.5839410432218</v>
      </c>
      <c r="E18" s="82">
        <f t="shared" si="1"/>
        <v>82.383690136626484</v>
      </c>
      <c r="F18" s="82">
        <f t="shared" si="2"/>
        <v>2039.2002509065953</v>
      </c>
      <c r="G18" s="82">
        <f t="shared" si="4"/>
        <v>7920.015744075271</v>
      </c>
    </row>
    <row r="19" spans="1:12" x14ac:dyDescent="0.25">
      <c r="B19" s="77">
        <v>5</v>
      </c>
      <c r="C19" s="82">
        <f t="shared" si="3"/>
        <v>2079.984255924729</v>
      </c>
      <c r="D19" s="82">
        <f t="shared" si="0"/>
        <v>2121.5839410432218</v>
      </c>
      <c r="E19" s="82">
        <f t="shared" si="1"/>
        <v>41.599685118494584</v>
      </c>
      <c r="F19" s="82">
        <f>D19-E19</f>
        <v>2079.9842559247272</v>
      </c>
      <c r="G19" s="82">
        <f t="shared" si="4"/>
        <v>9999.9999999999982</v>
      </c>
    </row>
    <row r="21" spans="1:12" ht="15" customHeight="1" x14ac:dyDescent="0.25">
      <c r="B21" s="88" t="s">
        <v>79</v>
      </c>
      <c r="C21" s="88"/>
      <c r="D21" s="88"/>
      <c r="E21" s="88"/>
      <c r="F21" s="88"/>
      <c r="G21" s="88"/>
      <c r="H21" s="88"/>
      <c r="I21" s="88"/>
      <c r="J21" s="88"/>
      <c r="K21" s="28"/>
      <c r="L21" s="28"/>
    </row>
    <row r="22" spans="1:12" ht="15" customHeight="1" x14ac:dyDescent="0.25">
      <c r="B22" s="83" t="s">
        <v>80</v>
      </c>
      <c r="C22" s="83"/>
      <c r="D22" s="83"/>
      <c r="E22" s="83"/>
      <c r="F22" s="83"/>
      <c r="G22" s="83"/>
      <c r="H22" s="83"/>
      <c r="I22" s="83"/>
      <c r="J22" s="83"/>
      <c r="K22" s="28"/>
      <c r="L22" s="28"/>
    </row>
    <row r="23" spans="1:12" ht="15" customHeight="1" x14ac:dyDescent="0.25">
      <c r="B23" s="84" t="s">
        <v>81</v>
      </c>
      <c r="C23" s="84"/>
      <c r="D23" s="84"/>
      <c r="E23" s="84"/>
      <c r="F23" s="84"/>
      <c r="G23" s="84"/>
      <c r="H23" s="84"/>
      <c r="I23" s="84"/>
      <c r="J23" s="84"/>
      <c r="K23" s="28"/>
      <c r="L23" s="28"/>
    </row>
    <row r="24" spans="1:12" ht="15" customHeight="1" x14ac:dyDescent="0.25">
      <c r="B24" s="84" t="s">
        <v>82</v>
      </c>
      <c r="C24" s="84"/>
      <c r="D24" s="84"/>
      <c r="E24" s="84"/>
      <c r="F24" s="84"/>
      <c r="G24" s="84"/>
      <c r="H24" s="84"/>
      <c r="I24" s="84"/>
      <c r="J24" s="84"/>
      <c r="K24" s="28"/>
      <c r="L24" s="28"/>
    </row>
    <row r="25" spans="1:12" ht="15" customHeight="1" x14ac:dyDescent="0.25">
      <c r="B25" s="83" t="s">
        <v>83</v>
      </c>
      <c r="C25" s="83"/>
      <c r="D25" s="83"/>
      <c r="E25" s="83"/>
      <c r="F25" s="83"/>
      <c r="G25" s="83"/>
      <c r="H25" s="83"/>
      <c r="I25" s="83"/>
      <c r="J25" s="83"/>
      <c r="K25" s="28"/>
      <c r="L25" s="28"/>
    </row>
    <row r="26" spans="1:12" x14ac:dyDescent="0.25">
      <c r="B26" s="83" t="s">
        <v>84</v>
      </c>
      <c r="C26" s="83"/>
      <c r="D26" s="83"/>
      <c r="E26" s="83"/>
      <c r="F26" s="83"/>
      <c r="G26" s="83"/>
      <c r="H26" s="83"/>
      <c r="I26" s="83"/>
      <c r="J26" s="83"/>
    </row>
    <row r="29" spans="1:12" x14ac:dyDescent="0.25">
      <c r="A29" s="67" t="s">
        <v>86</v>
      </c>
    </row>
    <row r="30" spans="1:12" x14ac:dyDescent="0.25">
      <c r="B30" s="85" t="s">
        <v>85</v>
      </c>
      <c r="C30" s="85"/>
      <c r="D30" s="85"/>
      <c r="E30" s="85"/>
      <c r="F30" s="85"/>
      <c r="G30" s="85"/>
      <c r="H30" s="85"/>
    </row>
    <row r="32" spans="1:12" x14ac:dyDescent="0.25">
      <c r="B32" s="68" t="s">
        <v>64</v>
      </c>
      <c r="C32" s="80">
        <v>10000</v>
      </c>
    </row>
    <row r="33" spans="2:9" x14ac:dyDescent="0.25">
      <c r="B33" s="68" t="s">
        <v>65</v>
      </c>
      <c r="C33" s="80">
        <v>5</v>
      </c>
      <c r="D33" s="1" t="s">
        <v>66</v>
      </c>
    </row>
    <row r="34" spans="2:9" x14ac:dyDescent="0.25">
      <c r="B34" s="68" t="s">
        <v>67</v>
      </c>
      <c r="C34" s="81">
        <v>0.02</v>
      </c>
    </row>
    <row r="35" spans="2:9" x14ac:dyDescent="0.25">
      <c r="B35" s="86" t="s">
        <v>87</v>
      </c>
      <c r="C35" s="80">
        <f>C32/C33</f>
        <v>2000</v>
      </c>
    </row>
    <row r="37" spans="2:9" x14ac:dyDescent="0.25">
      <c r="B37" s="70" t="s">
        <v>72</v>
      </c>
      <c r="C37" s="71"/>
      <c r="D37" s="72">
        <v>0.02</v>
      </c>
      <c r="E37" s="73"/>
      <c r="F37" s="74"/>
      <c r="G37" s="74"/>
    </row>
    <row r="38" spans="2:9" ht="45" x14ac:dyDescent="0.25">
      <c r="B38" s="75" t="s">
        <v>73</v>
      </c>
      <c r="C38" s="75" t="s">
        <v>74</v>
      </c>
      <c r="D38" s="75" t="s">
        <v>75</v>
      </c>
      <c r="E38" s="76" t="s">
        <v>76</v>
      </c>
      <c r="F38" s="76" t="s">
        <v>77</v>
      </c>
      <c r="G38" s="76" t="s">
        <v>78</v>
      </c>
    </row>
    <row r="39" spans="2:9" x14ac:dyDescent="0.25">
      <c r="B39" s="77">
        <v>1</v>
      </c>
      <c r="C39" s="82">
        <v>10000</v>
      </c>
      <c r="D39" s="82">
        <f>E39+F39</f>
        <v>2200</v>
      </c>
      <c r="E39" s="82">
        <f>C39*$D$37</f>
        <v>200</v>
      </c>
      <c r="F39" s="82">
        <f>$C$35</f>
        <v>2000</v>
      </c>
      <c r="G39" s="82">
        <f>F39</f>
        <v>2000</v>
      </c>
    </row>
    <row r="40" spans="2:9" x14ac:dyDescent="0.25">
      <c r="B40" s="77">
        <v>2</v>
      </c>
      <c r="C40" s="82">
        <f>$C$15-G39</f>
        <v>8000</v>
      </c>
      <c r="D40" s="82">
        <f t="shared" ref="D40:D43" si="5">E40+F40</f>
        <v>2160</v>
      </c>
      <c r="E40" s="82">
        <f t="shared" ref="E40:E43" si="6">C40*$D$37</f>
        <v>160</v>
      </c>
      <c r="F40" s="82">
        <f t="shared" ref="F40:F43" si="7">$C$35</f>
        <v>2000</v>
      </c>
      <c r="G40" s="82">
        <f>F40+G39</f>
        <v>4000</v>
      </c>
    </row>
    <row r="41" spans="2:9" x14ac:dyDescent="0.25">
      <c r="B41" s="77">
        <v>3</v>
      </c>
      <c r="C41" s="82">
        <f t="shared" ref="C41:C43" si="8">$C$15-G40</f>
        <v>6000</v>
      </c>
      <c r="D41" s="82">
        <f t="shared" si="5"/>
        <v>2120</v>
      </c>
      <c r="E41" s="82">
        <f t="shared" si="6"/>
        <v>120</v>
      </c>
      <c r="F41" s="82">
        <f t="shared" si="7"/>
        <v>2000</v>
      </c>
      <c r="G41" s="82">
        <f t="shared" ref="G41:G43" si="9">F41+G40</f>
        <v>6000</v>
      </c>
    </row>
    <row r="42" spans="2:9" x14ac:dyDescent="0.25">
      <c r="B42" s="77">
        <v>4</v>
      </c>
      <c r="C42" s="82">
        <f>$C$15-G41</f>
        <v>4000</v>
      </c>
      <c r="D42" s="82">
        <f t="shared" si="5"/>
        <v>2080</v>
      </c>
      <c r="E42" s="82">
        <f t="shared" si="6"/>
        <v>80</v>
      </c>
      <c r="F42" s="82">
        <f t="shared" si="7"/>
        <v>2000</v>
      </c>
      <c r="G42" s="82">
        <f t="shared" si="9"/>
        <v>8000</v>
      </c>
    </row>
    <row r="43" spans="2:9" x14ac:dyDescent="0.25">
      <c r="B43" s="77">
        <v>5</v>
      </c>
      <c r="C43" s="82">
        <f t="shared" ref="C43" si="10">$C$15-G42</f>
        <v>2000</v>
      </c>
      <c r="D43" s="82">
        <f t="shared" si="5"/>
        <v>2040</v>
      </c>
      <c r="E43" s="82">
        <f t="shared" si="6"/>
        <v>40</v>
      </c>
      <c r="F43" s="82">
        <f t="shared" si="7"/>
        <v>2000</v>
      </c>
      <c r="G43" s="82">
        <f t="shared" si="9"/>
        <v>10000</v>
      </c>
    </row>
    <row r="45" spans="2:9" x14ac:dyDescent="0.25">
      <c r="B45" s="87" t="s">
        <v>93</v>
      </c>
      <c r="C45" s="83"/>
      <c r="D45" s="83"/>
      <c r="E45" s="83"/>
      <c r="F45" s="83"/>
      <c r="G45" s="83"/>
      <c r="H45" s="83"/>
      <c r="I45" s="83"/>
    </row>
    <row r="46" spans="2:9" x14ac:dyDescent="0.25">
      <c r="B46" s="83" t="s">
        <v>88</v>
      </c>
      <c r="C46" s="83"/>
      <c r="D46" s="83"/>
      <c r="E46" s="83"/>
      <c r="F46" s="83"/>
      <c r="G46" s="83"/>
      <c r="H46" s="83"/>
      <c r="I46" s="83"/>
    </row>
    <row r="47" spans="2:9" x14ac:dyDescent="0.25">
      <c r="B47" s="83" t="s">
        <v>81</v>
      </c>
      <c r="C47" s="83"/>
      <c r="D47" s="83"/>
      <c r="E47" s="83"/>
      <c r="F47" s="83"/>
      <c r="G47" s="83"/>
      <c r="H47" s="83"/>
      <c r="I47" s="83"/>
    </row>
    <row r="48" spans="2:9" x14ac:dyDescent="0.25">
      <c r="B48" s="83" t="s">
        <v>89</v>
      </c>
      <c r="C48" s="83"/>
      <c r="D48" s="83"/>
      <c r="E48" s="83"/>
      <c r="F48" s="83"/>
      <c r="G48" s="83"/>
      <c r="H48" s="83"/>
      <c r="I48" s="83"/>
    </row>
    <row r="49" spans="2:9" x14ac:dyDescent="0.25">
      <c r="B49" s="83" t="s">
        <v>90</v>
      </c>
      <c r="C49" s="83"/>
      <c r="D49" s="83"/>
      <c r="E49" s="83"/>
      <c r="F49" s="83"/>
      <c r="G49" s="83"/>
      <c r="H49" s="83"/>
      <c r="I49" s="83"/>
    </row>
    <row r="50" spans="2:9" x14ac:dyDescent="0.25">
      <c r="B50" s="83" t="s">
        <v>91</v>
      </c>
      <c r="C50" s="83"/>
      <c r="D50" s="83"/>
      <c r="E50" s="83"/>
      <c r="F50" s="83"/>
      <c r="G50" s="83"/>
      <c r="H50" s="83"/>
      <c r="I50" s="83"/>
    </row>
    <row r="51" spans="2:9" x14ac:dyDescent="0.25">
      <c r="B51" s="83" t="s">
        <v>92</v>
      </c>
      <c r="C51" s="83"/>
      <c r="D51" s="83"/>
      <c r="E51" s="83"/>
      <c r="F51" s="83"/>
      <c r="G51" s="83"/>
      <c r="H51" s="83"/>
      <c r="I51" s="83"/>
    </row>
  </sheetData>
  <mergeCells count="18">
    <mergeCell ref="B49:I49"/>
    <mergeCell ref="B50:I50"/>
    <mergeCell ref="B51:I51"/>
    <mergeCell ref="B21:J21"/>
    <mergeCell ref="B22:J22"/>
    <mergeCell ref="B30:H30"/>
    <mergeCell ref="B37:C37"/>
    <mergeCell ref="B48:I48"/>
    <mergeCell ref="B47:I47"/>
    <mergeCell ref="B46:I46"/>
    <mergeCell ref="B45:I45"/>
    <mergeCell ref="B24:J24"/>
    <mergeCell ref="B25:J25"/>
    <mergeCell ref="B26:J26"/>
    <mergeCell ref="B23:J23"/>
    <mergeCell ref="B13:C13"/>
    <mergeCell ref="B2:M3"/>
    <mergeCell ref="B10:B1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B380-8323-4E12-B13D-81E24E6D04AC}">
  <dimension ref="A1:M63"/>
  <sheetViews>
    <sheetView tabSelected="1" topLeftCell="A46" zoomScale="90" zoomScaleNormal="90" workbookViewId="0">
      <selection activeCell="A58" sqref="A58:B61"/>
    </sheetView>
  </sheetViews>
  <sheetFormatPr baseColWidth="10" defaultRowHeight="15" x14ac:dyDescent="0.25"/>
  <cols>
    <col min="3" max="3" width="17.140625" customWidth="1"/>
    <col min="5" max="5" width="16.7109375" customWidth="1"/>
    <col min="6" max="6" width="16.28515625" customWidth="1"/>
    <col min="7" max="7" width="17.5703125" customWidth="1"/>
  </cols>
  <sheetData>
    <row r="1" spans="1:13" x14ac:dyDescent="0.25">
      <c r="A1" s="89" t="s">
        <v>94</v>
      </c>
    </row>
    <row r="2" spans="1:13" ht="15" customHeight="1" x14ac:dyDescent="0.25">
      <c r="B2" s="66" t="s">
        <v>95</v>
      </c>
      <c r="C2" s="66"/>
      <c r="D2" s="66"/>
      <c r="E2" s="66"/>
      <c r="F2" s="66"/>
      <c r="G2" s="66"/>
      <c r="H2" s="66"/>
      <c r="I2" s="66"/>
      <c r="J2" s="66"/>
      <c r="K2" s="66"/>
      <c r="L2" s="66"/>
      <c r="M2" s="66"/>
    </row>
    <row r="3" spans="1:13" x14ac:dyDescent="0.25">
      <c r="B3" s="66"/>
      <c r="C3" s="66"/>
      <c r="D3" s="66"/>
      <c r="E3" s="66"/>
      <c r="F3" s="66"/>
      <c r="G3" s="66"/>
      <c r="H3" s="66"/>
      <c r="I3" s="66"/>
      <c r="J3" s="66"/>
      <c r="K3" s="66"/>
      <c r="L3" s="66"/>
      <c r="M3" s="66"/>
    </row>
    <row r="4" spans="1:13" x14ac:dyDescent="0.25">
      <c r="B4" s="68" t="s">
        <v>64</v>
      </c>
      <c r="C4" s="80">
        <v>100000</v>
      </c>
    </row>
    <row r="5" spans="1:13" x14ac:dyDescent="0.25">
      <c r="B5" s="68" t="s">
        <v>65</v>
      </c>
      <c r="C5" s="80">
        <v>4</v>
      </c>
      <c r="D5" s="1" t="s">
        <v>66</v>
      </c>
    </row>
    <row r="6" spans="1:13" x14ac:dyDescent="0.25">
      <c r="B6" s="68" t="s">
        <v>67</v>
      </c>
      <c r="C6" s="90">
        <v>0.25</v>
      </c>
    </row>
    <row r="7" spans="1:13" x14ac:dyDescent="0.25">
      <c r="B7" s="68" t="s">
        <v>68</v>
      </c>
      <c r="C7" s="80" t="s">
        <v>69</v>
      </c>
    </row>
    <row r="9" spans="1:13" x14ac:dyDescent="0.25">
      <c r="B9" s="78" t="s">
        <v>70</v>
      </c>
      <c r="C9" s="68" t="s">
        <v>71</v>
      </c>
      <c r="D9" s="93">
        <f>C4*((C6*(1+C6)^C5)/((1+C6)^C5-1))</f>
        <v>42344.17344173442</v>
      </c>
    </row>
    <row r="10" spans="1:13" x14ac:dyDescent="0.25">
      <c r="B10" s="79"/>
    </row>
    <row r="12" spans="1:13" x14ac:dyDescent="0.25">
      <c r="B12" s="70" t="s">
        <v>72</v>
      </c>
      <c r="C12" s="71"/>
      <c r="D12" s="72">
        <v>0.25</v>
      </c>
      <c r="E12" s="73"/>
      <c r="F12" s="74"/>
      <c r="G12" s="74"/>
    </row>
    <row r="13" spans="1:13" ht="33" customHeight="1" x14ac:dyDescent="0.25">
      <c r="B13" s="75" t="s">
        <v>73</v>
      </c>
      <c r="C13" s="75" t="s">
        <v>74</v>
      </c>
      <c r="D13" s="75" t="s">
        <v>75</v>
      </c>
      <c r="E13" s="76" t="s">
        <v>76</v>
      </c>
      <c r="F13" s="76" t="s">
        <v>77</v>
      </c>
      <c r="G13" s="76" t="s">
        <v>78</v>
      </c>
    </row>
    <row r="14" spans="1:13" x14ac:dyDescent="0.25">
      <c r="B14" s="77">
        <v>1</v>
      </c>
      <c r="C14" s="82">
        <v>100000</v>
      </c>
      <c r="D14" s="82">
        <f>$D$9</f>
        <v>42344.17344173442</v>
      </c>
      <c r="E14" s="82">
        <f>C14*$D$12</f>
        <v>25000</v>
      </c>
      <c r="F14" s="82">
        <f>D14-E14</f>
        <v>17344.17344173442</v>
      </c>
      <c r="G14" s="82">
        <f>F14</f>
        <v>17344.17344173442</v>
      </c>
    </row>
    <row r="15" spans="1:13" x14ac:dyDescent="0.25">
      <c r="B15" s="77">
        <v>2</v>
      </c>
      <c r="C15" s="82">
        <f>$C$14-G14</f>
        <v>82655.826558265573</v>
      </c>
      <c r="D15" s="82">
        <f t="shared" ref="D15:D17" si="0">$D$9</f>
        <v>42344.17344173442</v>
      </c>
      <c r="E15" s="82">
        <f t="shared" ref="E15:E17" si="1">C15*$D$12</f>
        <v>20663.956639566393</v>
      </c>
      <c r="F15" s="82">
        <f t="shared" ref="F15:F17" si="2">D15-E15</f>
        <v>21680.216802168026</v>
      </c>
      <c r="G15" s="82">
        <f>F15+G14</f>
        <v>39024.390243902446</v>
      </c>
    </row>
    <row r="16" spans="1:13" x14ac:dyDescent="0.25">
      <c r="B16" s="77">
        <v>3</v>
      </c>
      <c r="C16" s="82">
        <f t="shared" ref="C16:C17" si="3">$C$14-G15</f>
        <v>60975.609756097554</v>
      </c>
      <c r="D16" s="82">
        <f t="shared" si="0"/>
        <v>42344.17344173442</v>
      </c>
      <c r="E16" s="82">
        <f t="shared" si="1"/>
        <v>15243.902439024389</v>
      </c>
      <c r="F16" s="82">
        <f t="shared" si="2"/>
        <v>27100.271002710033</v>
      </c>
      <c r="G16" s="82">
        <f>F16+G15</f>
        <v>66124.661246612479</v>
      </c>
    </row>
    <row r="17" spans="2:7" x14ac:dyDescent="0.25">
      <c r="B17" s="77">
        <v>4</v>
      </c>
      <c r="C17" s="82">
        <f t="shared" si="3"/>
        <v>33875.338753387521</v>
      </c>
      <c r="D17" s="82">
        <f t="shared" si="0"/>
        <v>42344.17344173442</v>
      </c>
      <c r="E17" s="82">
        <f t="shared" si="1"/>
        <v>8468.8346883468803</v>
      </c>
      <c r="F17" s="82">
        <f t="shared" si="2"/>
        <v>33875.338753387536</v>
      </c>
      <c r="G17" s="82">
        <f t="shared" ref="G17" si="4">F17+G16</f>
        <v>100000.00000000001</v>
      </c>
    </row>
    <row r="18" spans="2:7" x14ac:dyDescent="0.25">
      <c r="B18" s="1"/>
      <c r="C18" s="1"/>
      <c r="D18" s="1"/>
      <c r="E18" s="1"/>
      <c r="F18" s="1"/>
      <c r="G18" s="1"/>
    </row>
    <row r="19" spans="2:7" x14ac:dyDescent="0.25">
      <c r="B19" s="1"/>
      <c r="C19" s="1"/>
      <c r="D19" s="96">
        <f>SUM(D14:D17)</f>
        <v>169376.69376693768</v>
      </c>
      <c r="E19" s="96">
        <f t="shared" ref="E19:F19" si="5">SUM(E14:E17)</f>
        <v>69376.693766937664</v>
      </c>
      <c r="F19" s="96">
        <f t="shared" si="5"/>
        <v>100000.00000000001</v>
      </c>
      <c r="G19" s="1"/>
    </row>
    <row r="21" spans="2:7" x14ac:dyDescent="0.25">
      <c r="B21" s="99" t="s">
        <v>9</v>
      </c>
      <c r="C21" s="77">
        <v>0</v>
      </c>
      <c r="D21" s="77">
        <v>1</v>
      </c>
      <c r="E21" s="77">
        <v>2</v>
      </c>
      <c r="F21" s="77">
        <v>3</v>
      </c>
      <c r="G21" s="77">
        <v>4</v>
      </c>
    </row>
    <row r="22" spans="2:7" x14ac:dyDescent="0.25">
      <c r="B22" s="99" t="s">
        <v>96</v>
      </c>
      <c r="C22" s="77"/>
      <c r="D22" s="77">
        <v>-42344</v>
      </c>
      <c r="E22" s="77">
        <v>-42344</v>
      </c>
      <c r="F22" s="77">
        <v>-42344</v>
      </c>
      <c r="G22" s="77">
        <v>-42344</v>
      </c>
    </row>
    <row r="23" spans="2:7" x14ac:dyDescent="0.25">
      <c r="B23" s="99" t="s">
        <v>97</v>
      </c>
      <c r="C23" s="77">
        <v>100000</v>
      </c>
      <c r="D23" s="77"/>
      <c r="E23" s="77"/>
      <c r="F23" s="77"/>
      <c r="G23" s="77"/>
    </row>
    <row r="24" spans="2:7" x14ac:dyDescent="0.25">
      <c r="B24" s="99" t="s">
        <v>7</v>
      </c>
      <c r="C24" s="77">
        <f>SUM(C22:C23)</f>
        <v>100000</v>
      </c>
      <c r="D24" s="77">
        <f t="shared" ref="D24:G24" si="6">SUM(D22:D23)</f>
        <v>-42344</v>
      </c>
      <c r="E24" s="77">
        <f t="shared" si="6"/>
        <v>-42344</v>
      </c>
      <c r="F24" s="77">
        <f t="shared" si="6"/>
        <v>-42344</v>
      </c>
      <c r="G24" s="77">
        <f t="shared" si="6"/>
        <v>-42344</v>
      </c>
    </row>
    <row r="26" spans="2:7" x14ac:dyDescent="0.25">
      <c r="B26" s="97" t="s">
        <v>12</v>
      </c>
      <c r="C26" s="98">
        <f>IRR(C24:G24)</f>
        <v>0.24999769880488021</v>
      </c>
    </row>
    <row r="28" spans="2:7" x14ac:dyDescent="0.25">
      <c r="B28" s="99" t="s">
        <v>9</v>
      </c>
      <c r="C28" s="77">
        <v>0</v>
      </c>
      <c r="D28" s="77">
        <v>1</v>
      </c>
      <c r="E28" s="77">
        <v>2</v>
      </c>
      <c r="F28" s="77">
        <v>3</v>
      </c>
      <c r="G28" s="77">
        <v>4</v>
      </c>
    </row>
    <row r="29" spans="2:7" x14ac:dyDescent="0.25">
      <c r="B29" s="99" t="s">
        <v>98</v>
      </c>
      <c r="C29" s="19">
        <f>C22/(1+$C$26)^C28</f>
        <v>0</v>
      </c>
      <c r="D29" s="19">
        <f t="shared" ref="D29:F29" si="7">D22/(1+$C$26)^D28</f>
        <v>-33875.262362870744</v>
      </c>
      <c r="E29" s="19">
        <f t="shared" si="7"/>
        <v>-27100.259780685035</v>
      </c>
      <c r="F29" s="19">
        <f t="shared" si="7"/>
        <v>-21680.247736932259</v>
      </c>
      <c r="G29" s="19">
        <f>G22/(1+$C$26)^G28</f>
        <v>-17344.230119511973</v>
      </c>
    </row>
    <row r="30" spans="2:7" x14ac:dyDescent="0.25">
      <c r="B30" s="99" t="s">
        <v>99</v>
      </c>
      <c r="C30" s="19">
        <f>C23/(1+$C$26)^C28</f>
        <v>100000</v>
      </c>
      <c r="D30" s="19">
        <f t="shared" ref="D30:G30" si="8">D23/(1+$C$26)^D28</f>
        <v>0</v>
      </c>
      <c r="E30" s="19">
        <f t="shared" si="8"/>
        <v>0</v>
      </c>
      <c r="F30" s="19">
        <f t="shared" si="8"/>
        <v>0</v>
      </c>
      <c r="G30" s="19">
        <f t="shared" si="8"/>
        <v>0</v>
      </c>
    </row>
    <row r="31" spans="2:7" x14ac:dyDescent="0.25">
      <c r="B31" s="99" t="s">
        <v>100</v>
      </c>
      <c r="C31" s="19">
        <f>SUM(C29:C30)</f>
        <v>100000</v>
      </c>
      <c r="D31" s="19">
        <f t="shared" ref="D31" si="9">SUM(D29:D30)</f>
        <v>-33875.262362870744</v>
      </c>
      <c r="E31" s="19">
        <f t="shared" ref="E31" si="10">SUM(E29:E30)</f>
        <v>-27100.259780685035</v>
      </c>
      <c r="F31" s="19">
        <f t="shared" ref="F31" si="11">SUM(F29:F30)</f>
        <v>-21680.247736932259</v>
      </c>
      <c r="G31" s="19">
        <f t="shared" ref="G31" si="12">SUM(G29:G30)</f>
        <v>-17344.230119511973</v>
      </c>
    </row>
    <row r="34" spans="2:13" x14ac:dyDescent="0.25">
      <c r="B34" s="95" t="s">
        <v>101</v>
      </c>
      <c r="C34" s="95"/>
      <c r="D34" s="95"/>
      <c r="E34" s="95"/>
      <c r="F34" s="95"/>
      <c r="G34" s="95"/>
      <c r="H34" s="95"/>
      <c r="I34" s="95"/>
      <c r="J34" s="95"/>
      <c r="K34" s="95"/>
      <c r="L34" s="95"/>
      <c r="M34" s="95"/>
    </row>
    <row r="35" spans="2:13" x14ac:dyDescent="0.25">
      <c r="B35" s="95"/>
      <c r="C35" s="95"/>
      <c r="D35" s="95"/>
      <c r="E35" s="95"/>
      <c r="F35" s="95"/>
      <c r="G35" s="95"/>
      <c r="H35" s="95"/>
      <c r="I35" s="95"/>
      <c r="J35" s="95"/>
      <c r="K35" s="95"/>
      <c r="L35" s="95"/>
      <c r="M35" s="95"/>
    </row>
    <row r="36" spans="2:13" x14ac:dyDescent="0.25">
      <c r="B36" s="95" t="s">
        <v>102</v>
      </c>
      <c r="C36" s="95"/>
      <c r="D36" s="95"/>
      <c r="E36" s="95"/>
      <c r="F36" s="95"/>
      <c r="G36" s="95"/>
      <c r="H36" s="95"/>
      <c r="I36" s="95"/>
      <c r="J36" s="95"/>
      <c r="K36" s="95"/>
      <c r="L36" s="95"/>
      <c r="M36" s="95"/>
    </row>
    <row r="37" spans="2:13" x14ac:dyDescent="0.25">
      <c r="B37" s="95"/>
      <c r="C37" s="95"/>
      <c r="D37" s="95"/>
      <c r="E37" s="95"/>
      <c r="F37" s="95"/>
      <c r="G37" s="95"/>
      <c r="H37" s="95"/>
      <c r="I37" s="95"/>
      <c r="J37" s="95"/>
      <c r="K37" s="95"/>
      <c r="L37" s="95"/>
      <c r="M37" s="95"/>
    </row>
    <row r="38" spans="2:13" x14ac:dyDescent="0.25">
      <c r="B38" s="95" t="s">
        <v>103</v>
      </c>
      <c r="C38" s="95"/>
      <c r="D38" s="95"/>
      <c r="E38" s="95"/>
      <c r="F38" s="95"/>
      <c r="G38" s="95"/>
      <c r="H38" s="95"/>
      <c r="I38" s="95"/>
      <c r="J38" s="95"/>
      <c r="K38" s="95"/>
      <c r="L38" s="95"/>
      <c r="M38" s="95"/>
    </row>
    <row r="41" spans="2:13" x14ac:dyDescent="0.25">
      <c r="B41" s="70" t="s">
        <v>72</v>
      </c>
      <c r="C41" s="71"/>
      <c r="D41" s="72">
        <v>0.25</v>
      </c>
      <c r="E41" s="73"/>
      <c r="F41" s="74"/>
      <c r="G41" s="74"/>
      <c r="I41" s="92">
        <v>0.21</v>
      </c>
      <c r="J41" s="92">
        <v>0.03</v>
      </c>
      <c r="K41" s="92">
        <v>0.01</v>
      </c>
    </row>
    <row r="42" spans="2:13" ht="60" x14ac:dyDescent="0.25">
      <c r="B42" s="75" t="s">
        <v>73</v>
      </c>
      <c r="C42" s="75" t="s">
        <v>74</v>
      </c>
      <c r="D42" s="75" t="s">
        <v>75</v>
      </c>
      <c r="E42" s="76" t="s">
        <v>76</v>
      </c>
      <c r="F42" s="76" t="s">
        <v>77</v>
      </c>
      <c r="G42" s="76" t="s">
        <v>78</v>
      </c>
      <c r="I42" s="91" t="s">
        <v>104</v>
      </c>
      <c r="J42" s="91" t="s">
        <v>105</v>
      </c>
      <c r="K42" s="91" t="s">
        <v>107</v>
      </c>
      <c r="L42" s="91" t="s">
        <v>106</v>
      </c>
    </row>
    <row r="43" spans="2:13" x14ac:dyDescent="0.25">
      <c r="B43" s="77">
        <v>1</v>
      </c>
      <c r="C43" s="82">
        <v>100000</v>
      </c>
      <c r="D43" s="82">
        <f>$D$9</f>
        <v>42344.17344173442</v>
      </c>
      <c r="E43" s="82">
        <f>C43*$D$12</f>
        <v>25000</v>
      </c>
      <c r="F43" s="82">
        <f>D43-E43</f>
        <v>17344.17344173442</v>
      </c>
      <c r="G43" s="82">
        <f>F43</f>
        <v>17344.17344173442</v>
      </c>
      <c r="I43" s="82">
        <f>E43*$I$41</f>
        <v>5250</v>
      </c>
      <c r="J43" s="82">
        <f>C43*$J$41</f>
        <v>3000</v>
      </c>
      <c r="K43" s="82">
        <f>C43*$K$41</f>
        <v>1000</v>
      </c>
      <c r="L43" s="82">
        <f>SUM(I43:K43)+D43</f>
        <v>51594.17344173442</v>
      </c>
    </row>
    <row r="44" spans="2:13" x14ac:dyDescent="0.25">
      <c r="B44" s="77">
        <v>2</v>
      </c>
      <c r="C44" s="82">
        <f>$C$14-G43</f>
        <v>82655.826558265573</v>
      </c>
      <c r="D44" s="82">
        <f t="shared" ref="D44:D46" si="13">$D$9</f>
        <v>42344.17344173442</v>
      </c>
      <c r="E44" s="82">
        <f t="shared" ref="E44:E46" si="14">C44*$D$12</f>
        <v>20663.956639566393</v>
      </c>
      <c r="F44" s="82">
        <f t="shared" ref="F44:F46" si="15">D44-E44</f>
        <v>21680.216802168026</v>
      </c>
      <c r="G44" s="82">
        <f>F44+G43</f>
        <v>39024.390243902446</v>
      </c>
      <c r="I44" s="82">
        <f t="shared" ref="I44:I46" si="16">E44*$I$41</f>
        <v>4339.4308943089427</v>
      </c>
      <c r="J44" s="82">
        <v>0</v>
      </c>
      <c r="K44" s="82">
        <f t="shared" ref="K44:K46" si="17">C44*$K$41</f>
        <v>826.55826558265574</v>
      </c>
      <c r="L44" s="82">
        <f t="shared" ref="L44:L46" si="18">SUM(I44:K44)+D44</f>
        <v>47510.16260162602</v>
      </c>
    </row>
    <row r="45" spans="2:13" x14ac:dyDescent="0.25">
      <c r="B45" s="77">
        <v>3</v>
      </c>
      <c r="C45" s="82">
        <f t="shared" ref="C45:C46" si="19">$C$14-G44</f>
        <v>60975.609756097554</v>
      </c>
      <c r="D45" s="82">
        <f t="shared" si="13"/>
        <v>42344.17344173442</v>
      </c>
      <c r="E45" s="82">
        <f t="shared" si="14"/>
        <v>15243.902439024389</v>
      </c>
      <c r="F45" s="82">
        <f t="shared" si="15"/>
        <v>27100.271002710033</v>
      </c>
      <c r="G45" s="82">
        <f>F45+G44</f>
        <v>66124.661246612479</v>
      </c>
      <c r="I45" s="82">
        <f t="shared" si="16"/>
        <v>3201.2195121951213</v>
      </c>
      <c r="J45" s="82">
        <v>0</v>
      </c>
      <c r="K45" s="82">
        <f t="shared" si="17"/>
        <v>609.7560975609756</v>
      </c>
      <c r="L45" s="82">
        <f t="shared" si="18"/>
        <v>46155.149051490516</v>
      </c>
    </row>
    <row r="46" spans="2:13" x14ac:dyDescent="0.25">
      <c r="B46" s="77">
        <v>4</v>
      </c>
      <c r="C46" s="82">
        <f t="shared" si="19"/>
        <v>33875.338753387521</v>
      </c>
      <c r="D46" s="82">
        <f t="shared" si="13"/>
        <v>42344.17344173442</v>
      </c>
      <c r="E46" s="82">
        <f t="shared" si="14"/>
        <v>8468.8346883468803</v>
      </c>
      <c r="F46" s="82">
        <f t="shared" si="15"/>
        <v>33875.338753387536</v>
      </c>
      <c r="G46" s="82">
        <f t="shared" ref="G46" si="20">F46+G45</f>
        <v>100000.00000000001</v>
      </c>
      <c r="I46" s="82">
        <f t="shared" si="16"/>
        <v>1778.4552845528449</v>
      </c>
      <c r="J46" s="82">
        <v>0</v>
      </c>
      <c r="K46" s="82">
        <f t="shared" si="17"/>
        <v>338.75338753387524</v>
      </c>
      <c r="L46" s="82">
        <f t="shared" si="18"/>
        <v>44461.382113821142</v>
      </c>
    </row>
    <row r="47" spans="2:13" x14ac:dyDescent="0.25">
      <c r="I47" s="77"/>
      <c r="J47" s="77"/>
      <c r="K47" s="77"/>
      <c r="L47" s="77"/>
    </row>
    <row r="48" spans="2:13" x14ac:dyDescent="0.25">
      <c r="I48" s="82">
        <f>SUM(I43:I46)</f>
        <v>14569.105691056908</v>
      </c>
      <c r="J48" s="82">
        <f t="shared" ref="J48:L48" si="21">SUM(J43:J46)</f>
        <v>3000</v>
      </c>
      <c r="K48" s="82">
        <f t="shared" si="21"/>
        <v>2775.0677506775069</v>
      </c>
      <c r="L48" s="82">
        <f t="shared" si="21"/>
        <v>189720.86720867208</v>
      </c>
    </row>
    <row r="50" spans="1:12" x14ac:dyDescent="0.25">
      <c r="B50" s="65" t="s">
        <v>108</v>
      </c>
      <c r="C50" s="65"/>
      <c r="D50" s="65"/>
      <c r="E50" s="65"/>
      <c r="F50" s="65"/>
      <c r="G50" s="65"/>
      <c r="H50" s="65"/>
      <c r="I50" s="65"/>
      <c r="J50" s="65"/>
      <c r="K50" s="65"/>
      <c r="L50" s="65"/>
    </row>
    <row r="51" spans="1:12" x14ac:dyDescent="0.25">
      <c r="B51" s="65"/>
      <c r="C51" s="65"/>
      <c r="D51" s="65"/>
      <c r="E51" s="65"/>
      <c r="F51" s="65"/>
      <c r="G51" s="65"/>
      <c r="H51" s="65"/>
      <c r="I51" s="65"/>
      <c r="J51" s="65"/>
      <c r="K51" s="65"/>
      <c r="L51" s="65"/>
    </row>
    <row r="53" spans="1:12" x14ac:dyDescent="0.25">
      <c r="A53" s="3"/>
      <c r="B53" s="99" t="s">
        <v>9</v>
      </c>
      <c r="C53" s="77">
        <v>0</v>
      </c>
      <c r="D53" s="77">
        <v>1</v>
      </c>
      <c r="E53" s="77">
        <v>2</v>
      </c>
      <c r="F53" s="77">
        <v>3</v>
      </c>
      <c r="G53" s="77">
        <v>4</v>
      </c>
    </row>
    <row r="54" spans="1:12" x14ac:dyDescent="0.25">
      <c r="A54" s="3"/>
      <c r="B54" s="99" t="s">
        <v>96</v>
      </c>
      <c r="C54" s="77"/>
      <c r="D54" s="82">
        <f>-L43</f>
        <v>-51594.17344173442</v>
      </c>
      <c r="E54" s="82">
        <f>-L44</f>
        <v>-47510.16260162602</v>
      </c>
      <c r="F54" s="82">
        <f>-L45</f>
        <v>-46155.149051490516</v>
      </c>
      <c r="G54" s="82">
        <f>-L46</f>
        <v>-44461.382113821142</v>
      </c>
    </row>
    <row r="55" spans="1:12" x14ac:dyDescent="0.25">
      <c r="A55" s="3"/>
      <c r="B55" s="99" t="s">
        <v>97</v>
      </c>
      <c r="C55" s="77">
        <f>100000</f>
        <v>100000</v>
      </c>
      <c r="D55" s="77"/>
      <c r="E55" s="77"/>
      <c r="F55" s="77"/>
      <c r="G55" s="77"/>
    </row>
    <row r="56" spans="1:12" x14ac:dyDescent="0.25">
      <c r="A56" s="3"/>
      <c r="B56" s="99" t="s">
        <v>7</v>
      </c>
      <c r="C56" s="77">
        <f>SUM(C54:C55)</f>
        <v>100000</v>
      </c>
      <c r="D56" s="77">
        <f t="shared" ref="D56:G56" si="22">SUM(D54:D55)</f>
        <v>-51594.17344173442</v>
      </c>
      <c r="E56" s="77">
        <f t="shared" si="22"/>
        <v>-47510.16260162602</v>
      </c>
      <c r="F56" s="77">
        <f t="shared" si="22"/>
        <v>-46155.149051490516</v>
      </c>
      <c r="G56" s="77">
        <f t="shared" si="22"/>
        <v>-44461.382113821142</v>
      </c>
    </row>
    <row r="57" spans="1:12" x14ac:dyDescent="0.25">
      <c r="A57" s="3"/>
      <c r="B57" s="3"/>
      <c r="C57" s="3"/>
      <c r="D57" s="3"/>
      <c r="E57" s="3"/>
      <c r="F57" s="3"/>
      <c r="G57" s="3"/>
    </row>
    <row r="58" spans="1:12" x14ac:dyDescent="0.25">
      <c r="A58" s="100"/>
      <c r="B58" s="101" t="s">
        <v>9</v>
      </c>
      <c r="C58" s="77">
        <v>0</v>
      </c>
      <c r="D58" s="77">
        <v>1</v>
      </c>
      <c r="E58" s="77">
        <v>2</v>
      </c>
      <c r="F58" s="77">
        <v>3</v>
      </c>
      <c r="G58" s="77">
        <v>4</v>
      </c>
    </row>
    <row r="59" spans="1:12" x14ac:dyDescent="0.25">
      <c r="A59" s="102" t="s">
        <v>109</v>
      </c>
      <c r="B59" s="102"/>
      <c r="C59" s="77"/>
      <c r="D59" s="82">
        <f>D54/(1+$D$41)^D58</f>
        <v>-41275.338753387536</v>
      </c>
      <c r="E59" s="82">
        <f t="shared" ref="E59:G59" si="23">E54/(1+$D$41)^E58</f>
        <v>-30406.504065040652</v>
      </c>
      <c r="F59" s="82">
        <f t="shared" si="23"/>
        <v>-23631.436314363145</v>
      </c>
      <c r="G59" s="82">
        <f t="shared" si="23"/>
        <v>-18211.382113821139</v>
      </c>
    </row>
    <row r="60" spans="1:12" x14ac:dyDescent="0.25">
      <c r="A60" s="102" t="s">
        <v>110</v>
      </c>
      <c r="B60" s="102"/>
      <c r="C60" s="77">
        <f>C55/(1+C63)^C58</f>
        <v>100000</v>
      </c>
      <c r="D60" s="77"/>
      <c r="E60" s="77"/>
      <c r="F60" s="77"/>
      <c r="G60" s="77"/>
    </row>
    <row r="61" spans="1:12" x14ac:dyDescent="0.25">
      <c r="A61" s="102" t="s">
        <v>111</v>
      </c>
      <c r="B61" s="102"/>
      <c r="C61" s="77">
        <f>SUM(C59:C60)</f>
        <v>100000</v>
      </c>
      <c r="D61" s="77">
        <f t="shared" ref="D61" si="24">SUM(D59:D60)</f>
        <v>-41275.338753387536</v>
      </c>
      <c r="E61" s="82">
        <f>SUM(E59:E60)</f>
        <v>-30406.504065040652</v>
      </c>
      <c r="F61" s="77">
        <f t="shared" ref="F61" si="25">SUM(F59:F60)</f>
        <v>-23631.436314363145</v>
      </c>
      <c r="G61" s="77">
        <f t="shared" ref="G61" si="26">SUM(G59:G60)</f>
        <v>-18211.382113821139</v>
      </c>
    </row>
    <row r="63" spans="1:12" x14ac:dyDescent="0.25">
      <c r="B63" s="50" t="s">
        <v>12</v>
      </c>
      <c r="C63" s="94">
        <f>IRR(C56:G56)</f>
        <v>0.3266875718890212</v>
      </c>
    </row>
  </sheetData>
  <mergeCells count="8">
    <mergeCell ref="A59:B59"/>
    <mergeCell ref="A60:B60"/>
    <mergeCell ref="A61:B61"/>
    <mergeCell ref="B2:M3"/>
    <mergeCell ref="B12:C12"/>
    <mergeCell ref="B9:B10"/>
    <mergeCell ref="B41:C41"/>
    <mergeCell ref="B50:L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21</vt:lpstr>
      <vt:lpstr>22</vt:lpstr>
      <vt:lpstr>23</vt:lpstr>
      <vt:lpstr>23 bis</vt:lpstr>
      <vt:lpstr>PRC</vt:lpstr>
      <vt:lpstr>24 25</vt:lpstr>
      <vt:lpstr>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Bargas</dc:creator>
  <cp:lastModifiedBy>Santiago Bargas</cp:lastModifiedBy>
  <dcterms:created xsi:type="dcterms:W3CDTF">2021-05-20T20:16:30Z</dcterms:created>
  <dcterms:modified xsi:type="dcterms:W3CDTF">2021-06-05T01:52:02Z</dcterms:modified>
</cp:coreProperties>
</file>